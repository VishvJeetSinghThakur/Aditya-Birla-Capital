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v\Downloads\"/>
    </mc:Choice>
  </mc:AlternateContent>
  <xr:revisionPtr revIDLastSave="0" documentId="13_ncr:1_{E9D2CE48-130E-409C-8A26-8451BFB3A32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Cover Page" sheetId="1" r:id="rId1"/>
    <sheet name="Content" sheetId="2" r:id="rId2"/>
    <sheet name="Method 1" sheetId="3" r:id="rId3"/>
    <sheet name="Method 2" sheetId="4" r:id="rId4"/>
    <sheet name="Method 3" sheetId="5" r:id="rId5"/>
    <sheet name="Method 4" sheetId="6" r:id="rId6"/>
    <sheet name="Method 5" sheetId="7" r:id="rId7"/>
    <sheet name="Method 6" sheetId="8" r:id="rId8"/>
    <sheet name="Method Self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1" i="9" l="1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A119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A91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A63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A35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A7" i="9"/>
  <c r="E121" i="8"/>
  <c r="D121" i="8"/>
  <c r="E120" i="8"/>
  <c r="D120" i="8"/>
  <c r="E119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A103" i="8"/>
  <c r="E97" i="8"/>
  <c r="D9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A79" i="8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G63" i="8"/>
  <c r="E63" i="8"/>
  <c r="F63" i="8" s="1"/>
  <c r="D63" i="8"/>
  <c r="E62" i="8"/>
  <c r="D62" i="8"/>
  <c r="E61" i="8"/>
  <c r="D61" i="8"/>
  <c r="E60" i="8"/>
  <c r="D60" i="8"/>
  <c r="E59" i="8"/>
  <c r="D59" i="8"/>
  <c r="A55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A31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A7" i="8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A79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A61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A43" i="6"/>
  <c r="E37" i="6"/>
  <c r="D37" i="6"/>
  <c r="E36" i="6"/>
  <c r="D36" i="6"/>
  <c r="G35" i="6"/>
  <c r="F35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A25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A7" i="6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A87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A67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A47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A27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A7" i="5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A91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A70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A49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A28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G11" i="4"/>
  <c r="E11" i="4"/>
  <c r="F11" i="4" s="1"/>
  <c r="D11" i="4"/>
  <c r="A7" i="4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A87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A67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A47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A27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A7" i="3"/>
  <c r="C20" i="1"/>
  <c r="C19" i="1"/>
  <c r="C17" i="1"/>
  <c r="C16" i="1"/>
  <c r="C15" i="1"/>
  <c r="C14" i="1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A99" i="7"/>
  <c r="C18" i="1" s="1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A76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A53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A30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A7" i="7"/>
  <c r="G141" i="9" l="1"/>
  <c r="F141" i="9"/>
  <c r="G140" i="9"/>
  <c r="F140" i="9"/>
  <c r="G139" i="9"/>
  <c r="F139" i="9"/>
  <c r="G138" i="9"/>
  <c r="F138" i="9"/>
  <c r="G137" i="9"/>
  <c r="F137" i="9"/>
  <c r="G136" i="9"/>
  <c r="F136" i="9"/>
  <c r="G135" i="9"/>
  <c r="F135" i="9"/>
  <c r="G134" i="9"/>
  <c r="F134" i="9"/>
  <c r="G133" i="9"/>
  <c r="F133" i="9"/>
  <c r="G132" i="9"/>
  <c r="F132" i="9"/>
  <c r="F131" i="9"/>
  <c r="G131" i="9"/>
  <c r="G130" i="9"/>
  <c r="F130" i="9"/>
  <c r="G129" i="9"/>
  <c r="F129" i="9"/>
  <c r="G128" i="9"/>
  <c r="F128" i="9"/>
  <c r="F127" i="9"/>
  <c r="G127" i="9"/>
  <c r="G126" i="9"/>
  <c r="F126" i="9"/>
  <c r="G125" i="9"/>
  <c r="F125" i="9"/>
  <c r="F124" i="9"/>
  <c r="G124" i="9"/>
  <c r="G123" i="9"/>
  <c r="G142" i="9" s="1"/>
  <c r="F123" i="9"/>
  <c r="F142" i="9" s="1"/>
  <c r="B119" i="9" s="1"/>
  <c r="D20" i="1" s="1"/>
  <c r="F113" i="9"/>
  <c r="G113" i="9"/>
  <c r="G112" i="9"/>
  <c r="F112" i="9"/>
  <c r="G111" i="9"/>
  <c r="F111" i="9"/>
  <c r="G110" i="9"/>
  <c r="F110" i="9"/>
  <c r="G109" i="9"/>
  <c r="F109" i="9"/>
  <c r="F108" i="9"/>
  <c r="G108" i="9"/>
  <c r="G107" i="9"/>
  <c r="F107" i="9"/>
  <c r="F106" i="9"/>
  <c r="G106" i="9"/>
  <c r="G105" i="9"/>
  <c r="F105" i="9"/>
  <c r="G104" i="9"/>
  <c r="F104" i="9"/>
  <c r="G103" i="9"/>
  <c r="F103" i="9"/>
  <c r="G102" i="9"/>
  <c r="F102" i="9"/>
  <c r="F101" i="9"/>
  <c r="G101" i="9"/>
  <c r="G100" i="9"/>
  <c r="F100" i="9"/>
  <c r="G99" i="9"/>
  <c r="F99" i="9"/>
  <c r="G98" i="9"/>
  <c r="F98" i="9"/>
  <c r="G97" i="9"/>
  <c r="F97" i="9"/>
  <c r="G96" i="9"/>
  <c r="F96" i="9"/>
  <c r="F95" i="9"/>
  <c r="F114" i="9" s="1"/>
  <c r="B91" i="9" s="1"/>
  <c r="G95" i="9"/>
  <c r="G114" i="9" s="1"/>
  <c r="G85" i="9"/>
  <c r="F85" i="9"/>
  <c r="G84" i="9"/>
  <c r="F84" i="9"/>
  <c r="G83" i="9"/>
  <c r="F83" i="9"/>
  <c r="G82" i="9"/>
  <c r="F82" i="9"/>
  <c r="G81" i="9"/>
  <c r="F81" i="9"/>
  <c r="F80" i="9"/>
  <c r="G80" i="9"/>
  <c r="F79" i="9"/>
  <c r="G79" i="9"/>
  <c r="F78" i="9"/>
  <c r="G78" i="9"/>
  <c r="F77" i="9"/>
  <c r="G77" i="9"/>
  <c r="F76" i="9"/>
  <c r="G76" i="9"/>
  <c r="F75" i="9"/>
  <c r="G75" i="9"/>
  <c r="G74" i="9"/>
  <c r="F74" i="9"/>
  <c r="F73" i="9"/>
  <c r="G73" i="9"/>
  <c r="F72" i="9"/>
  <c r="G72" i="9"/>
  <c r="F71" i="9"/>
  <c r="G71" i="9"/>
  <c r="G70" i="9"/>
  <c r="F70" i="9"/>
  <c r="F69" i="9"/>
  <c r="G69" i="9"/>
  <c r="F68" i="9"/>
  <c r="G68" i="9"/>
  <c r="G67" i="9"/>
  <c r="F67" i="9"/>
  <c r="F57" i="9"/>
  <c r="G57" i="9"/>
  <c r="F56" i="9"/>
  <c r="G56" i="9"/>
  <c r="F55" i="9"/>
  <c r="G55" i="9"/>
  <c r="G54" i="9"/>
  <c r="F54" i="9"/>
  <c r="G53" i="9"/>
  <c r="F53" i="9"/>
  <c r="F52" i="9"/>
  <c r="G52" i="9"/>
  <c r="G51" i="9"/>
  <c r="F51" i="9"/>
  <c r="F50" i="9"/>
  <c r="G50" i="9"/>
  <c r="G49" i="9"/>
  <c r="F49" i="9"/>
  <c r="F48" i="9"/>
  <c r="G48" i="9"/>
  <c r="F47" i="9"/>
  <c r="G47" i="9"/>
  <c r="G46" i="9"/>
  <c r="F46" i="9"/>
  <c r="G45" i="9"/>
  <c r="F45" i="9"/>
  <c r="G44" i="9"/>
  <c r="F44" i="9"/>
  <c r="G43" i="9"/>
  <c r="F43" i="9"/>
  <c r="G42" i="9"/>
  <c r="F42" i="9"/>
  <c r="G41" i="9"/>
  <c r="F41" i="9"/>
  <c r="F40" i="9"/>
  <c r="G40" i="9"/>
  <c r="G39" i="9"/>
  <c r="G58" i="9" s="1"/>
  <c r="F39" i="9"/>
  <c r="F58" i="9" s="1"/>
  <c r="B35" i="9" s="1"/>
  <c r="G29" i="9"/>
  <c r="F29" i="9"/>
  <c r="G28" i="9"/>
  <c r="F28" i="9"/>
  <c r="F27" i="9"/>
  <c r="G27" i="9"/>
  <c r="F26" i="9"/>
  <c r="G26" i="9"/>
  <c r="F25" i="9"/>
  <c r="G25" i="9"/>
  <c r="F24" i="9"/>
  <c r="G24" i="9"/>
  <c r="F23" i="9"/>
  <c r="G23" i="9"/>
  <c r="G22" i="9"/>
  <c r="F22" i="9"/>
  <c r="G21" i="9"/>
  <c r="F21" i="9"/>
  <c r="G20" i="9"/>
  <c r="F20" i="9"/>
  <c r="F19" i="9"/>
  <c r="G19" i="9"/>
  <c r="G18" i="9"/>
  <c r="F18" i="9"/>
  <c r="F17" i="9"/>
  <c r="G17" i="9"/>
  <c r="F16" i="9"/>
  <c r="G16" i="9"/>
  <c r="G15" i="9"/>
  <c r="F15" i="9"/>
  <c r="G14" i="9"/>
  <c r="F14" i="9"/>
  <c r="F13" i="9"/>
  <c r="G13" i="9"/>
  <c r="F12" i="9"/>
  <c r="G12" i="9"/>
  <c r="G11" i="9"/>
  <c r="G30" i="9" s="1"/>
  <c r="F11" i="9"/>
  <c r="F30" i="9" s="1"/>
  <c r="B7" i="9" s="1"/>
  <c r="F121" i="8"/>
  <c r="G121" i="8"/>
  <c r="F120" i="8"/>
  <c r="G120" i="8"/>
  <c r="F119" i="8"/>
  <c r="G119" i="8"/>
  <c r="F118" i="8"/>
  <c r="G118" i="8"/>
  <c r="G117" i="8"/>
  <c r="F117" i="8"/>
  <c r="G116" i="8"/>
  <c r="F116" i="8"/>
  <c r="G115" i="8"/>
  <c r="F115" i="8"/>
  <c r="F114" i="8"/>
  <c r="G114" i="8"/>
  <c r="F113" i="8"/>
  <c r="G113" i="8"/>
  <c r="F112" i="8"/>
  <c r="G112" i="8"/>
  <c r="G111" i="8"/>
  <c r="F111" i="8"/>
  <c r="G110" i="8"/>
  <c r="F110" i="8"/>
  <c r="G109" i="8"/>
  <c r="F109" i="8"/>
  <c r="G108" i="8"/>
  <c r="F108" i="8"/>
  <c r="G107" i="8"/>
  <c r="G122" i="8" s="1"/>
  <c r="F107" i="8"/>
  <c r="F122" i="8" s="1"/>
  <c r="B103" i="8" s="1"/>
  <c r="D19" i="1" s="1"/>
  <c r="G97" i="8"/>
  <c r="F97" i="8"/>
  <c r="G96" i="8"/>
  <c r="F96" i="8"/>
  <c r="G95" i="8"/>
  <c r="F95" i="8"/>
  <c r="G94" i="8"/>
  <c r="F94" i="8"/>
  <c r="G93" i="8"/>
  <c r="F93" i="8"/>
  <c r="F92" i="8"/>
  <c r="G92" i="8"/>
  <c r="F91" i="8"/>
  <c r="G91" i="8"/>
  <c r="G90" i="8"/>
  <c r="F90" i="8"/>
  <c r="F89" i="8"/>
  <c r="G89" i="8"/>
  <c r="G88" i="8"/>
  <c r="F88" i="8"/>
  <c r="F87" i="8"/>
  <c r="G87" i="8"/>
  <c r="G86" i="8"/>
  <c r="F86" i="8"/>
  <c r="F85" i="8"/>
  <c r="G85" i="8"/>
  <c r="G84" i="8"/>
  <c r="F84" i="8"/>
  <c r="G83" i="8"/>
  <c r="G98" i="8" s="1"/>
  <c r="F83" i="8"/>
  <c r="F98" i="8" s="1"/>
  <c r="B79" i="8" s="1"/>
  <c r="F73" i="8"/>
  <c r="G73" i="8"/>
  <c r="G72" i="8"/>
  <c r="F72" i="8"/>
  <c r="G71" i="8"/>
  <c r="F71" i="8"/>
  <c r="G70" i="8"/>
  <c r="F70" i="8"/>
  <c r="G69" i="8"/>
  <c r="F69" i="8"/>
  <c r="F68" i="8"/>
  <c r="G68" i="8"/>
  <c r="F67" i="8"/>
  <c r="G67" i="8"/>
  <c r="G66" i="8"/>
  <c r="F66" i="8"/>
  <c r="G65" i="8"/>
  <c r="F65" i="8"/>
  <c r="F64" i="8"/>
  <c r="G64" i="8"/>
  <c r="F62" i="8"/>
  <c r="G62" i="8"/>
  <c r="G61" i="8"/>
  <c r="F61" i="8"/>
  <c r="G60" i="8"/>
  <c r="F60" i="8"/>
  <c r="G59" i="8"/>
  <c r="F59" i="8"/>
  <c r="G49" i="8"/>
  <c r="F49" i="8"/>
  <c r="G48" i="8"/>
  <c r="F48" i="8"/>
  <c r="F47" i="8"/>
  <c r="G47" i="8"/>
  <c r="G46" i="8"/>
  <c r="F46" i="8"/>
  <c r="F45" i="8"/>
  <c r="G45" i="8"/>
  <c r="G44" i="8"/>
  <c r="F44" i="8"/>
  <c r="F43" i="8"/>
  <c r="G43" i="8"/>
  <c r="G42" i="8"/>
  <c r="F42" i="8"/>
  <c r="G41" i="8"/>
  <c r="F41" i="8"/>
  <c r="G40" i="8"/>
  <c r="F40" i="8"/>
  <c r="F39" i="8"/>
  <c r="G39" i="8"/>
  <c r="F38" i="8"/>
  <c r="G38" i="8"/>
  <c r="F37" i="8"/>
  <c r="G37" i="8"/>
  <c r="F36" i="8"/>
  <c r="G36" i="8"/>
  <c r="F35" i="8"/>
  <c r="F50" i="8" s="1"/>
  <c r="B31" i="8" s="1"/>
  <c r="G35" i="8"/>
  <c r="G50" i="8" s="1"/>
  <c r="G25" i="8"/>
  <c r="F25" i="8"/>
  <c r="G24" i="8"/>
  <c r="F24" i="8"/>
  <c r="G23" i="8"/>
  <c r="F23" i="8"/>
  <c r="F22" i="8"/>
  <c r="G22" i="8"/>
  <c r="G21" i="8"/>
  <c r="F21" i="8"/>
  <c r="F20" i="8"/>
  <c r="G20" i="8"/>
  <c r="F19" i="8"/>
  <c r="G19" i="8"/>
  <c r="F18" i="8"/>
  <c r="G18" i="8"/>
  <c r="F17" i="8"/>
  <c r="G17" i="8"/>
  <c r="F16" i="8"/>
  <c r="G16" i="8"/>
  <c r="G15" i="8"/>
  <c r="F15" i="8"/>
  <c r="G14" i="8"/>
  <c r="F14" i="8"/>
  <c r="G13" i="8"/>
  <c r="F13" i="8"/>
  <c r="G12" i="8"/>
  <c r="F12" i="8"/>
  <c r="G11" i="8"/>
  <c r="G26" i="8" s="1"/>
  <c r="F11" i="8"/>
  <c r="F26" i="8" s="1"/>
  <c r="B7" i="8" s="1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F84" i="6"/>
  <c r="G84" i="6"/>
  <c r="G83" i="6"/>
  <c r="G92" i="6" s="1"/>
  <c r="F83" i="6"/>
  <c r="F92" i="6" s="1"/>
  <c r="B79" i="6" s="1"/>
  <c r="D17" i="1" s="1"/>
  <c r="G73" i="6"/>
  <c r="F73" i="6"/>
  <c r="G72" i="6"/>
  <c r="F72" i="6"/>
  <c r="F71" i="6"/>
  <c r="G71" i="6"/>
  <c r="G70" i="6"/>
  <c r="F70" i="6"/>
  <c r="F69" i="6"/>
  <c r="G69" i="6"/>
  <c r="G68" i="6"/>
  <c r="F68" i="6"/>
  <c r="G67" i="6"/>
  <c r="F67" i="6"/>
  <c r="F66" i="6"/>
  <c r="G66" i="6"/>
  <c r="F65" i="6"/>
  <c r="F74" i="6" s="1"/>
  <c r="B61" i="6" s="1"/>
  <c r="G65" i="6"/>
  <c r="G74" i="6" s="1"/>
  <c r="F55" i="6"/>
  <c r="G55" i="6"/>
  <c r="F54" i="6"/>
  <c r="G54" i="6"/>
  <c r="G53" i="6"/>
  <c r="F53" i="6"/>
  <c r="G52" i="6"/>
  <c r="F52" i="6"/>
  <c r="F51" i="6"/>
  <c r="G51" i="6"/>
  <c r="G50" i="6"/>
  <c r="F50" i="6"/>
  <c r="F49" i="6"/>
  <c r="G49" i="6"/>
  <c r="F48" i="6"/>
  <c r="G48" i="6"/>
  <c r="F47" i="6"/>
  <c r="F56" i="6" s="1"/>
  <c r="B43" i="6" s="1"/>
  <c r="G47" i="6"/>
  <c r="G56" i="6" s="1"/>
  <c r="F37" i="6"/>
  <c r="G37" i="6"/>
  <c r="G36" i="6"/>
  <c r="F36" i="6"/>
  <c r="G34" i="6"/>
  <c r="F34" i="6"/>
  <c r="F33" i="6"/>
  <c r="G33" i="6"/>
  <c r="F32" i="6"/>
  <c r="G32" i="6"/>
  <c r="F31" i="6"/>
  <c r="G31" i="6"/>
  <c r="F30" i="6"/>
  <c r="G30" i="6"/>
  <c r="F29" i="6"/>
  <c r="F38" i="6" s="1"/>
  <c r="B25" i="6" s="1"/>
  <c r="G29" i="6"/>
  <c r="G38" i="6" s="1"/>
  <c r="F19" i="6"/>
  <c r="G19" i="6"/>
  <c r="F18" i="6"/>
  <c r="G18" i="6"/>
  <c r="G17" i="6"/>
  <c r="F17" i="6"/>
  <c r="G16" i="6"/>
  <c r="F16" i="6"/>
  <c r="F15" i="6"/>
  <c r="G15" i="6"/>
  <c r="F14" i="6"/>
  <c r="G14" i="6"/>
  <c r="F13" i="6"/>
  <c r="G13" i="6"/>
  <c r="G12" i="6"/>
  <c r="F12" i="6"/>
  <c r="G11" i="6"/>
  <c r="G20" i="6" s="1"/>
  <c r="F11" i="6"/>
  <c r="F20" i="6" s="1"/>
  <c r="B7" i="6" s="1"/>
  <c r="F101" i="5"/>
  <c r="G101" i="5"/>
  <c r="F100" i="5"/>
  <c r="G100" i="5"/>
  <c r="G99" i="5"/>
  <c r="F99" i="5"/>
  <c r="F98" i="5"/>
  <c r="G98" i="5"/>
  <c r="F97" i="5"/>
  <c r="G97" i="5"/>
  <c r="G96" i="5"/>
  <c r="F96" i="5"/>
  <c r="F95" i="5"/>
  <c r="G95" i="5"/>
  <c r="F94" i="5"/>
  <c r="G94" i="5"/>
  <c r="F93" i="5"/>
  <c r="G93" i="5"/>
  <c r="F92" i="5"/>
  <c r="G92" i="5"/>
  <c r="F91" i="5"/>
  <c r="F102" i="5" s="1"/>
  <c r="B87" i="5" s="1"/>
  <c r="D16" i="1" s="1"/>
  <c r="G91" i="5"/>
  <c r="G102" i="5" s="1"/>
  <c r="G81" i="5"/>
  <c r="F81" i="5"/>
  <c r="G80" i="5"/>
  <c r="F80" i="5"/>
  <c r="F79" i="5"/>
  <c r="G79" i="5"/>
  <c r="F78" i="5"/>
  <c r="G78" i="5"/>
  <c r="F77" i="5"/>
  <c r="G77" i="5"/>
  <c r="F76" i="5"/>
  <c r="G76" i="5"/>
  <c r="F75" i="5"/>
  <c r="G75" i="5"/>
  <c r="F74" i="5"/>
  <c r="G74" i="5"/>
  <c r="F73" i="5"/>
  <c r="G73" i="5"/>
  <c r="F72" i="5"/>
  <c r="G72" i="5"/>
  <c r="F71" i="5"/>
  <c r="F82" i="5" s="1"/>
  <c r="B67" i="5" s="1"/>
  <c r="G71" i="5"/>
  <c r="G82" i="5" s="1"/>
  <c r="F61" i="5"/>
  <c r="G61" i="5"/>
  <c r="F60" i="5"/>
  <c r="G60" i="5"/>
  <c r="G59" i="5"/>
  <c r="F59" i="5"/>
  <c r="G58" i="5"/>
  <c r="F58" i="5"/>
  <c r="F57" i="5"/>
  <c r="G57" i="5"/>
  <c r="G56" i="5"/>
  <c r="F56" i="5"/>
  <c r="F55" i="5"/>
  <c r="G55" i="5"/>
  <c r="G54" i="5"/>
  <c r="F54" i="5"/>
  <c r="G53" i="5"/>
  <c r="F53" i="5"/>
  <c r="G52" i="5"/>
  <c r="F52" i="5"/>
  <c r="G51" i="5"/>
  <c r="G62" i="5" s="1"/>
  <c r="F51" i="5"/>
  <c r="F62" i="5" s="1"/>
  <c r="B47" i="5" s="1"/>
  <c r="G41" i="5"/>
  <c r="F41" i="5"/>
  <c r="F40" i="5"/>
  <c r="G40" i="5"/>
  <c r="G39" i="5"/>
  <c r="F39" i="5"/>
  <c r="F38" i="5"/>
  <c r="G38" i="5"/>
  <c r="G37" i="5"/>
  <c r="F37" i="5"/>
  <c r="G36" i="5"/>
  <c r="F36" i="5"/>
  <c r="G35" i="5"/>
  <c r="F35" i="5"/>
  <c r="G34" i="5"/>
  <c r="F34" i="5"/>
  <c r="G33" i="5"/>
  <c r="F33" i="5"/>
  <c r="F32" i="5"/>
  <c r="G32" i="5"/>
  <c r="F31" i="5"/>
  <c r="F42" i="5" s="1"/>
  <c r="B27" i="5" s="1"/>
  <c r="G31" i="5"/>
  <c r="G42" i="5" s="1"/>
  <c r="F21" i="5"/>
  <c r="G21" i="5"/>
  <c r="G20" i="5"/>
  <c r="F20" i="5"/>
  <c r="G19" i="5"/>
  <c r="F19" i="5"/>
  <c r="F18" i="5"/>
  <c r="G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F22" i="5" s="1"/>
  <c r="B7" i="5" s="1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F107" i="4" s="1"/>
  <c r="B91" i="4" s="1"/>
  <c r="D15" i="1" s="1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G86" i="4" s="1"/>
  <c r="F74" i="4"/>
  <c r="F86" i="4" s="1"/>
  <c r="B70" i="4" s="1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G65" i="4" s="1"/>
  <c r="F53" i="4"/>
  <c r="F65" i="4" s="1"/>
  <c r="B49" i="4" s="1"/>
  <c r="G43" i="4"/>
  <c r="F43" i="4"/>
  <c r="G42" i="4"/>
  <c r="F42" i="4"/>
  <c r="G41" i="4"/>
  <c r="F41" i="4"/>
  <c r="F40" i="4"/>
  <c r="G40" i="4"/>
  <c r="G39" i="4"/>
  <c r="F39" i="4"/>
  <c r="G38" i="4"/>
  <c r="F38" i="4"/>
  <c r="F37" i="4"/>
  <c r="G37" i="4"/>
  <c r="F36" i="4"/>
  <c r="G36" i="4"/>
  <c r="G35" i="4"/>
  <c r="F35" i="4"/>
  <c r="F34" i="4"/>
  <c r="G34" i="4"/>
  <c r="F33" i="4"/>
  <c r="G33" i="4"/>
  <c r="F32" i="4"/>
  <c r="F44" i="4" s="1"/>
  <c r="B28" i="4" s="1"/>
  <c r="G32" i="4"/>
  <c r="G44" i="4" s="1"/>
  <c r="G22" i="4"/>
  <c r="F22" i="4"/>
  <c r="F21" i="4"/>
  <c r="G21" i="4"/>
  <c r="G20" i="4"/>
  <c r="F20" i="4"/>
  <c r="F19" i="4"/>
  <c r="G19" i="4"/>
  <c r="F18" i="4"/>
  <c r="G18" i="4"/>
  <c r="G17" i="4"/>
  <c r="F17" i="4"/>
  <c r="G16" i="4"/>
  <c r="F16" i="4"/>
  <c r="G15" i="4"/>
  <c r="F15" i="4"/>
  <c r="G14" i="4"/>
  <c r="F14" i="4"/>
  <c r="F13" i="4"/>
  <c r="G13" i="4"/>
  <c r="F12" i="4"/>
  <c r="F23" i="4" s="1"/>
  <c r="B7" i="4" s="1"/>
  <c r="G12" i="4"/>
  <c r="G23" i="4" s="1"/>
  <c r="F101" i="3"/>
  <c r="G101" i="3"/>
  <c r="F100" i="3"/>
  <c r="G100" i="3"/>
  <c r="F99" i="3"/>
  <c r="G99" i="3"/>
  <c r="F98" i="3"/>
  <c r="G98" i="3"/>
  <c r="F97" i="3"/>
  <c r="G97" i="3"/>
  <c r="G96" i="3"/>
  <c r="F96" i="3"/>
  <c r="G95" i="3"/>
  <c r="F95" i="3"/>
  <c r="G94" i="3"/>
  <c r="F94" i="3"/>
  <c r="G93" i="3"/>
  <c r="F93" i="3"/>
  <c r="G92" i="3"/>
  <c r="F92" i="3"/>
  <c r="G91" i="3"/>
  <c r="G102" i="3" s="1"/>
  <c r="F91" i="3"/>
  <c r="F102" i="3" s="1"/>
  <c r="B87" i="3" s="1"/>
  <c r="D14" i="1" s="1"/>
  <c r="G81" i="3"/>
  <c r="F81" i="3"/>
  <c r="G80" i="3"/>
  <c r="F80" i="3"/>
  <c r="G79" i="3"/>
  <c r="F79" i="3"/>
  <c r="F78" i="3"/>
  <c r="G78" i="3"/>
  <c r="F77" i="3"/>
  <c r="G77" i="3"/>
  <c r="F76" i="3"/>
  <c r="G76" i="3"/>
  <c r="F75" i="3"/>
  <c r="G75" i="3"/>
  <c r="F74" i="3"/>
  <c r="G74" i="3"/>
  <c r="F73" i="3"/>
  <c r="G73" i="3"/>
  <c r="G72" i="3"/>
  <c r="F72" i="3"/>
  <c r="G71" i="3"/>
  <c r="G82" i="3" s="1"/>
  <c r="F71" i="3"/>
  <c r="F82" i="3" s="1"/>
  <c r="B67" i="3" s="1"/>
  <c r="G61" i="3"/>
  <c r="F61" i="3"/>
  <c r="G60" i="3"/>
  <c r="F60" i="3"/>
  <c r="G59" i="3"/>
  <c r="F59" i="3"/>
  <c r="G58" i="3"/>
  <c r="F58" i="3"/>
  <c r="F57" i="3"/>
  <c r="G57" i="3"/>
  <c r="F56" i="3"/>
  <c r="G56" i="3"/>
  <c r="F55" i="3"/>
  <c r="G55" i="3"/>
  <c r="F54" i="3"/>
  <c r="G54" i="3"/>
  <c r="F53" i="3"/>
  <c r="G53" i="3"/>
  <c r="F52" i="3"/>
  <c r="G52" i="3"/>
  <c r="G51" i="3"/>
  <c r="F51" i="3"/>
  <c r="F62" i="3" s="1"/>
  <c r="B47" i="3" s="1"/>
  <c r="G41" i="3"/>
  <c r="F41" i="3"/>
  <c r="G40" i="3"/>
  <c r="F40" i="3"/>
  <c r="G39" i="3"/>
  <c r="F39" i="3"/>
  <c r="G38" i="3"/>
  <c r="F38" i="3"/>
  <c r="F37" i="3"/>
  <c r="G37" i="3"/>
  <c r="G36" i="3"/>
  <c r="F36" i="3"/>
  <c r="F35" i="3"/>
  <c r="G35" i="3"/>
  <c r="F34" i="3"/>
  <c r="G34" i="3"/>
  <c r="F33" i="3"/>
  <c r="G33" i="3"/>
  <c r="F32" i="3"/>
  <c r="G32" i="3"/>
  <c r="F31" i="3"/>
  <c r="F42" i="3" s="1"/>
  <c r="B27" i="3" s="1"/>
  <c r="G31" i="3"/>
  <c r="G42" i="3" s="1"/>
  <c r="F21" i="3"/>
  <c r="G21" i="3"/>
  <c r="F20" i="3"/>
  <c r="G20" i="3"/>
  <c r="F19" i="3"/>
  <c r="G19" i="3"/>
  <c r="F18" i="3"/>
  <c r="G18" i="3"/>
  <c r="F17" i="3"/>
  <c r="G17" i="3"/>
  <c r="F16" i="3"/>
  <c r="G16" i="3"/>
  <c r="F15" i="3"/>
  <c r="G15" i="3"/>
  <c r="F14" i="3"/>
  <c r="G14" i="3"/>
  <c r="F13" i="3"/>
  <c r="G13" i="3"/>
  <c r="F12" i="3"/>
  <c r="G12" i="3"/>
  <c r="F11" i="3"/>
  <c r="F22" i="3" s="1"/>
  <c r="B7" i="3" s="1"/>
  <c r="G11" i="3"/>
  <c r="G22" i="3" s="1"/>
  <c r="G116" i="7"/>
  <c r="F116" i="7"/>
  <c r="G115" i="7"/>
  <c r="F115" i="7"/>
  <c r="G114" i="7"/>
  <c r="F114" i="7"/>
  <c r="G113" i="7"/>
  <c r="F113" i="7"/>
  <c r="G112" i="7"/>
  <c r="F112" i="7"/>
  <c r="G111" i="7"/>
  <c r="F111" i="7"/>
  <c r="F110" i="7"/>
  <c r="G110" i="7"/>
  <c r="F109" i="7"/>
  <c r="G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F93" i="7"/>
  <c r="G93" i="7"/>
  <c r="G92" i="7"/>
  <c r="F92" i="7"/>
  <c r="G91" i="7"/>
  <c r="F91" i="7"/>
  <c r="G90" i="7"/>
  <c r="F90" i="7"/>
  <c r="F89" i="7"/>
  <c r="G89" i="7"/>
  <c r="F88" i="7"/>
  <c r="G88" i="7"/>
  <c r="F87" i="7"/>
  <c r="G87" i="7"/>
  <c r="G86" i="7"/>
  <c r="F86" i="7"/>
  <c r="G85" i="7"/>
  <c r="F85" i="7"/>
  <c r="F84" i="7"/>
  <c r="G84" i="7"/>
  <c r="F83" i="7"/>
  <c r="G83" i="7"/>
  <c r="F82" i="7"/>
  <c r="G82" i="7"/>
  <c r="F81" i="7"/>
  <c r="G81" i="7"/>
  <c r="G80" i="7"/>
  <c r="G94" i="7" s="1"/>
  <c r="F80" i="7"/>
  <c r="F94" i="7" s="1"/>
  <c r="B76" i="7" s="1"/>
  <c r="G70" i="7"/>
  <c r="F70" i="7"/>
  <c r="G69" i="7"/>
  <c r="F69" i="7"/>
  <c r="G68" i="7"/>
  <c r="F68" i="7"/>
  <c r="F67" i="7"/>
  <c r="G67" i="7"/>
  <c r="F66" i="7"/>
  <c r="G66" i="7"/>
  <c r="F65" i="7"/>
  <c r="G65" i="7"/>
  <c r="F64" i="7"/>
  <c r="G64" i="7"/>
  <c r="G63" i="7"/>
  <c r="F63" i="7"/>
  <c r="F62" i="7"/>
  <c r="G62" i="7"/>
  <c r="G61" i="7"/>
  <c r="F61" i="7"/>
  <c r="F60" i="7"/>
  <c r="G60" i="7"/>
  <c r="F59" i="7"/>
  <c r="G59" i="7"/>
  <c r="G58" i="7"/>
  <c r="F58" i="7"/>
  <c r="G57" i="7"/>
  <c r="G71" i="7" s="1"/>
  <c r="F57" i="7"/>
  <c r="F71" i="7" s="1"/>
  <c r="B53" i="7" s="1"/>
  <c r="F47" i="7"/>
  <c r="G47" i="7"/>
  <c r="G46" i="7"/>
  <c r="F46" i="7"/>
  <c r="F45" i="7"/>
  <c r="G45" i="7"/>
  <c r="F44" i="7"/>
  <c r="G44" i="7"/>
  <c r="F43" i="7"/>
  <c r="G43" i="7"/>
  <c r="F42" i="7"/>
  <c r="G42" i="7"/>
  <c r="G41" i="7"/>
  <c r="F41" i="7"/>
  <c r="F40" i="7"/>
  <c r="G40" i="7"/>
  <c r="F39" i="7"/>
  <c r="G39" i="7"/>
  <c r="G38" i="7"/>
  <c r="F38" i="7"/>
  <c r="F37" i="7"/>
  <c r="G37" i="7"/>
  <c r="F36" i="7"/>
  <c r="G36" i="7"/>
  <c r="G35" i="7"/>
  <c r="F35" i="7"/>
  <c r="G34" i="7"/>
  <c r="G48" i="7" s="1"/>
  <c r="F34" i="7"/>
  <c r="G24" i="7"/>
  <c r="F24" i="7"/>
  <c r="G23" i="7"/>
  <c r="F23" i="7"/>
  <c r="G22" i="7"/>
  <c r="F22" i="7"/>
  <c r="G21" i="7"/>
  <c r="F21" i="7"/>
  <c r="F20" i="7"/>
  <c r="G20" i="7"/>
  <c r="G19" i="7"/>
  <c r="F19" i="7"/>
  <c r="F18" i="7"/>
  <c r="G18" i="7"/>
  <c r="F17" i="7"/>
  <c r="G17" i="7"/>
  <c r="F16" i="7"/>
  <c r="G16" i="7"/>
  <c r="F15" i="7"/>
  <c r="G15" i="7"/>
  <c r="F14" i="7"/>
  <c r="G14" i="7"/>
  <c r="G13" i="7"/>
  <c r="F13" i="7"/>
  <c r="G12" i="7"/>
  <c r="F12" i="7"/>
  <c r="F11" i="7"/>
  <c r="F25" i="7" s="1"/>
  <c r="B7" i="7" s="1"/>
  <c r="G11" i="7"/>
  <c r="G25" i="7" s="1"/>
  <c r="C21" i="1"/>
  <c r="D119" i="9" l="1"/>
  <c r="F119" i="9"/>
  <c r="E20" i="1" s="1"/>
  <c r="D91" i="9"/>
  <c r="F91" i="9"/>
  <c r="D35" i="9"/>
  <c r="F35" i="9"/>
  <c r="D7" i="9"/>
  <c r="F7" i="9"/>
  <c r="D103" i="8"/>
  <c r="F103" i="8"/>
  <c r="E19" i="1" s="1"/>
  <c r="D79" i="8"/>
  <c r="F79" i="8"/>
  <c r="D31" i="8"/>
  <c r="F31" i="8"/>
  <c r="D7" i="8"/>
  <c r="F7" i="8"/>
  <c r="D79" i="6"/>
  <c r="F79" i="6"/>
  <c r="E17" i="1" s="1"/>
  <c r="D61" i="6"/>
  <c r="F61" i="6"/>
  <c r="D43" i="6"/>
  <c r="F43" i="6"/>
  <c r="D25" i="6"/>
  <c r="F25" i="6"/>
  <c r="D7" i="6"/>
  <c r="F7" i="6"/>
  <c r="D87" i="5"/>
  <c r="F87" i="5"/>
  <c r="E16" i="1" s="1"/>
  <c r="D67" i="5"/>
  <c r="F67" i="5"/>
  <c r="D47" i="5"/>
  <c r="F47" i="5"/>
  <c r="D27" i="5"/>
  <c r="F27" i="5"/>
  <c r="D70" i="4"/>
  <c r="F70" i="4"/>
  <c r="D49" i="4"/>
  <c r="F49" i="4"/>
  <c r="F28" i="4"/>
  <c r="D28" i="4"/>
  <c r="D87" i="3"/>
  <c r="F87" i="3"/>
  <c r="E14" i="1" s="1"/>
  <c r="D67" i="3"/>
  <c r="F67" i="3"/>
  <c r="D27" i="3"/>
  <c r="F27" i="3"/>
  <c r="D7" i="3"/>
  <c r="F7" i="3"/>
  <c r="D76" i="7"/>
  <c r="F76" i="7"/>
  <c r="D53" i="7"/>
  <c r="F53" i="7"/>
  <c r="D30" i="7"/>
  <c r="D7" i="7"/>
  <c r="F7" i="7"/>
  <c r="G86" i="9"/>
  <c r="F86" i="9"/>
  <c r="B63" i="9" s="1"/>
  <c r="G62" i="3"/>
  <c r="G74" i="8"/>
  <c r="F74" i="8"/>
  <c r="B55" i="8" s="1"/>
  <c r="G107" i="4"/>
  <c r="G22" i="5"/>
  <c r="G117" i="7"/>
  <c r="F117" i="7"/>
  <c r="B99" i="7" s="1"/>
  <c r="D18" i="1" s="1"/>
  <c r="D21" i="1" s="1"/>
  <c r="F48" i="7"/>
  <c r="D7" i="4"/>
  <c r="F7" i="4"/>
  <c r="F63" i="9" l="1"/>
  <c r="D63" i="9"/>
  <c r="F47" i="3"/>
  <c r="D47" i="3"/>
  <c r="F55" i="8"/>
  <c r="D55" i="8"/>
  <c r="F91" i="4"/>
  <c r="E15" i="1" s="1"/>
  <c r="E21" i="1" s="1"/>
  <c r="D91" i="4"/>
  <c r="F7" i="5"/>
  <c r="D7" i="5"/>
  <c r="F99" i="7"/>
  <c r="E18" i="1" s="1"/>
  <c r="D99" i="7"/>
  <c r="B30" i="7"/>
  <c r="F30" i="7"/>
</calcChain>
</file>

<file path=xl/sharedStrings.xml><?xml version="1.0" encoding="utf-8"?>
<sst xmlns="http://schemas.openxmlformats.org/spreadsheetml/2006/main" count="1109" uniqueCount="189">
  <si>
    <t>PORTFOLIO BASKET TRACKERS — WEEKLY PERFORMANCE REPORT</t>
  </si>
  <si>
    <t>7-Basket Buy-and-Hold Tracking  |  6/30/2026 - 7/31/2026 (5 Weekly Checkpoints)</t>
  </si>
  <si>
    <t>Prepared By</t>
  </si>
  <si>
    <t>Vishv Jeet Singh Thakur</t>
  </si>
  <si>
    <t>Submitted To</t>
  </si>
  <si>
    <t>Nikesh Ruparel</t>
  </si>
  <si>
    <t>Institution</t>
  </si>
  <si>
    <t>UPES</t>
  </si>
  <si>
    <t>Programme</t>
  </si>
  <si>
    <t>MBA in Strategic Financial Management in collaboration with EY</t>
  </si>
  <si>
    <t>Batch</t>
  </si>
  <si>
    <t>F4- Jun-2026</t>
  </si>
  <si>
    <t>Report Type</t>
  </si>
  <si>
    <t>Weekly Portfolio Basket Performance Tracker</t>
  </si>
  <si>
    <t>Investment Universe</t>
  </si>
  <si>
    <t>NSE-Listed Equities - 7 Baskets, Equal-Weighted at Inception</t>
  </si>
  <si>
    <t>BASKET SUMMARY - LATEST (WEEK 5) HOLDINGS &amp; RETURN</t>
  </si>
  <si>
    <t>#</t>
  </si>
  <si>
    <t>Basket</t>
  </si>
  <si>
    <t>Holdings</t>
  </si>
  <si>
    <t>Total Investment (Rs)</t>
  </si>
  <si>
    <t>Return (Week 5)</t>
  </si>
  <si>
    <t>Method 1</t>
  </si>
  <si>
    <t>Method 2</t>
  </si>
  <si>
    <t>Method 3</t>
  </si>
  <si>
    <t>Method 4</t>
  </si>
  <si>
    <t>Method 5</t>
  </si>
  <si>
    <t>Method 6</t>
  </si>
  <si>
    <t>Method Self</t>
  </si>
  <si>
    <t>TOTAL / AVERAGE ACROSS ALL BASKETS</t>
  </si>
  <si>
    <t>Note: Holdings, Total Investment and Return figures pull live from the Week 5 snapshot on each basket sheet.</t>
  </si>
  <si>
    <t>TABLE OF CONTENTS</t>
  </si>
  <si>
    <t>Portfolio Basket Trackers - Weekly Performance Report  |  7 Baskets  |  5 Weekly Checkpoints</t>
  </si>
  <si>
    <t>Section</t>
  </si>
  <si>
    <t>What's Inside</t>
  </si>
  <si>
    <t>Go To</t>
  </si>
  <si>
    <t>Cover Page</t>
  </si>
  <si>
    <t>Report details, submission info &amp; basket-level Week 5 holdings / return summary</t>
  </si>
  <si>
    <t>Open sheet</t>
  </si>
  <si>
    <t>Method 1 - 5-week basket tracking: holdings, weighted allocation &amp; weekly return snapshots</t>
  </si>
  <si>
    <t>Method 2 - 5-week basket tracking: holdings, weighted allocation &amp; weekly return snapshots</t>
  </si>
  <si>
    <t>Method 3 - 5-week basket tracking: holdings, weighted allocation &amp; weekly return snapshots</t>
  </si>
  <si>
    <t>Method 4 - 5-week basket tracking: holdings, weighted allocation &amp; weekly return snapshots</t>
  </si>
  <si>
    <t>Method 5 - 5-week basket tracking: holdings, weighted allocation &amp; weekly return snapshots</t>
  </si>
  <si>
    <t>Method 6 - 5-week basket tracking: holdings, weighted allocation &amp; weekly return snapshots</t>
  </si>
  <si>
    <t>Method Self - 5-week basket tracking: holdings, weighted allocation &amp; weekly return snapshots</t>
  </si>
  <si>
    <t>Note: Click "Open sheet" to jump directly to a section. Each basket sheet shows 5 weekly snapshots (holdings, capital deployed, growth, return) followed by the full stock-level holdings table for that week.</t>
  </si>
  <si>
    <t>PORTFOLIO BASKET TRACKER — METHOD 1</t>
  </si>
  <si>
    <t>WEEK 1 SNAPSHOT — 6/30/2026 - 7/3/2026</t>
  </si>
  <si>
    <t>QUERY / SCREENING CRITERIA</t>
  </si>
  <si>
    <t>Reference stock (basis fixed at inception): Polycab India Ltd (₹9961)</t>
  </si>
  <si>
    <t>Return on equity &gt; 15 AND</t>
  </si>
  <si>
    <t>Total Investment (₹)</t>
  </si>
  <si>
    <t>Growth (₹)</t>
  </si>
  <si>
    <t>Return (6/30/2026 - 7/3/2026)</t>
  </si>
  <si>
    <t>Sales growth &gt; 15 AND</t>
  </si>
  <si>
    <t>Change in FII holding &gt; 1</t>
  </si>
  <si>
    <t>HOLDINGS — WEEK 1</t>
  </si>
  <si>
    <t>Company Name</t>
  </si>
  <si>
    <t>Day 1 Closing (₹)</t>
  </si>
  <si>
    <t>1 Week Closing (₹)</t>
  </si>
  <si>
    <t>Return (%)</t>
  </si>
  <si>
    <t>Basis (Shares)</t>
  </si>
  <si>
    <t>Investment (₹)</t>
  </si>
  <si>
    <t>Vedanta Ltd</t>
  </si>
  <si>
    <t>Premier Energies Ltd</t>
  </si>
  <si>
    <t>Aegis Logistics Ltd</t>
  </si>
  <si>
    <t>Glenmark Pharmaceuticals Ltd</t>
  </si>
  <si>
    <t>Multi Commodity Exchange of India Ltd</t>
  </si>
  <si>
    <t>Aditya Infotech Ltd</t>
  </si>
  <si>
    <t>BSE Ltd</t>
  </si>
  <si>
    <t>Hero MotoCorp Ltd</t>
  </si>
  <si>
    <t>GE Vernova T&amp;D India Ltd</t>
  </si>
  <si>
    <t>Cummins India Ltd</t>
  </si>
  <si>
    <t>Polycab India Ltd</t>
  </si>
  <si>
    <t>Portfolio Total</t>
  </si>
  <si>
    <t>WEEK 2 SNAPSHOT — 6/30/2026 - 7/10/2026</t>
  </si>
  <si>
    <t>Reference stock (basis fixed at inception): Hero MotoCorp Ltd (₹4794.3)</t>
  </si>
  <si>
    <t>Return (6/30/2026 - 7/10/2026)</t>
  </si>
  <si>
    <t>HOLDINGS — WEEK 2</t>
  </si>
  <si>
    <t>2 Week Closing (₹)</t>
  </si>
  <si>
    <t>WEEK 3 SNAPSHOT — 6/30/2026 - 7/17/2026</t>
  </si>
  <si>
    <t>Return (6/30/2026 - 7/17/2026)</t>
  </si>
  <si>
    <t>HOLDINGS — WEEK 3</t>
  </si>
  <si>
    <t>3 Week Closing (₹)</t>
  </si>
  <si>
    <t>WEEK 4 SNAPSHOT — 6/30/2026 - 7/24/2026</t>
  </si>
  <si>
    <t>Return (6/30/2026 - 7/24/2026)</t>
  </si>
  <si>
    <t>HOLDINGS — WEEK 4</t>
  </si>
  <si>
    <t>4 Week Closing (₹)</t>
  </si>
  <si>
    <t>WEEK 5 SNAPSHOT — 6/30/2026 - 7/31/2026</t>
  </si>
  <si>
    <t>Return (6/30/2026 - 7/31/2026)</t>
  </si>
  <si>
    <t>HOLDINGS — WEEK 5</t>
  </si>
  <si>
    <t>5 Week Closing (₹)</t>
  </si>
  <si>
    <t>📌  Note: Basis (Shares) = ROUND(Reference Price ÷ Day 1 Closing, 0), fixed at inception (Week 1) and held constant across all weeks so returns reflect price movement only. Investment (₹) = Basis × Previous Closing; Growth (₹) = Basis × Current Closing. Portfolio Return = (Total Growth − Total Investment) ÷ Total Investment.</t>
  </si>
  <si>
    <t>PORTFOLIO BASKET TRACKER — METHOD 2</t>
  </si>
  <si>
    <t>Sales &gt; 250 AND</t>
  </si>
  <si>
    <t>Debt to equity &lt; 0.3 AND</t>
  </si>
  <si>
    <t>Interest Coverage Ratio &gt; 4 AND</t>
  </si>
  <si>
    <t>Price to Earning &lt; Industry PE AND</t>
  </si>
  <si>
    <t>Dividend yield &gt; 1 AND</t>
  </si>
  <si>
    <t>NMDC Ltd</t>
  </si>
  <si>
    <t>Price to Earning &lt; 20</t>
  </si>
  <si>
    <t>Wipro Ltd</t>
  </si>
  <si>
    <t>Petronet LNG Ltd</t>
  </si>
  <si>
    <t>ITC Ltd</t>
  </si>
  <si>
    <t>National Aluminium Co Ltd</t>
  </si>
  <si>
    <t>Coal India Ltd</t>
  </si>
  <si>
    <t>Infosys Ltd</t>
  </si>
  <si>
    <t>HCL Technologies Ltd</t>
  </si>
  <si>
    <t>Tata Consultancy Services Ltd</t>
  </si>
  <si>
    <t>Escorts Kubota Ltd</t>
  </si>
  <si>
    <t>LTM Ltd</t>
  </si>
  <si>
    <t>PORTFOLIO BASKET TRACKER — METHOD 3</t>
  </si>
  <si>
    <t>Reference stock (basis fixed at inception): Tata Consultancy Services Ltd (₹2031.5)</t>
  </si>
  <si>
    <t>Price to Earning &lt; 15 AND</t>
  </si>
  <si>
    <t>Price to Earning &gt; 0 AND</t>
  </si>
  <si>
    <t>ROCE 3yr avg &gt;= 15 AND</t>
  </si>
  <si>
    <t>Net profit &gt;= 20 AND</t>
  </si>
  <si>
    <t>YOY Quarterly profit growth &gt; 0</t>
  </si>
  <si>
    <t>Indian Oil Corporation Ltd</t>
  </si>
  <si>
    <t>Bharat Petroleum Corporation Ltd</t>
  </si>
  <si>
    <t>Indus Towers Ltd</t>
  </si>
  <si>
    <t>Hindustan Petroleum Corp Ltd</t>
  </si>
  <si>
    <t>Life Insurance Corporation Of India</t>
  </si>
  <si>
    <t>PORTFOLIO BASKET TRACKER — METHOD 4</t>
  </si>
  <si>
    <t>Reference stock (basis fixed at inception): MRF Ltd (₹127820)</t>
  </si>
  <si>
    <t>Method:- Peter Lynch</t>
  </si>
  <si>
    <t>PEG Ratio &lt; 1 AND</t>
  </si>
  <si>
    <t>Sales &gt; 500 AND</t>
  </si>
  <si>
    <t>Price to Earning &lt; 40 AND</t>
  </si>
  <si>
    <t>Profit growth &gt; 20 AND</t>
  </si>
  <si>
    <t>Debt to equity &lt; 0.2 AND</t>
  </si>
  <si>
    <t>Suzlon Energy Ltd</t>
  </si>
  <si>
    <t>Price to Cash Flow &gt; 5</t>
  </si>
  <si>
    <t>General Insurance Corporation of India</t>
  </si>
  <si>
    <t>IPCA Laboratories Ltd</t>
  </si>
  <si>
    <t>Godfrey Phillips India Ltd</t>
  </si>
  <si>
    <t>Bajaj Holdings and Investment Ltd</t>
  </si>
  <si>
    <t>MRF Ltd</t>
  </si>
  <si>
    <t>PORTFOLIO BASKET TRACKER — METHOD 5</t>
  </si>
  <si>
    <t>Reference stock (basis fixed at inception): Bajaj Auto Ltd (₹9716)</t>
  </si>
  <si>
    <t>Method:- Joel Greenblatt</t>
  </si>
  <si>
    <t>G Factor &gt;= 7 AND</t>
  </si>
  <si>
    <t>Market Capitalization &gt; 25000</t>
  </si>
  <si>
    <t>Central Bank of India Ltd</t>
  </si>
  <si>
    <t>Physicswallah Ltd</t>
  </si>
  <si>
    <t>Bank of India Ltd</t>
  </si>
  <si>
    <t>Hindustan Zinc Ltd</t>
  </si>
  <si>
    <t>Nippon Life India Asset Management Ltd</t>
  </si>
  <si>
    <t>Waaree Energies Ltd</t>
  </si>
  <si>
    <t>Bajaj Auto Ltd</t>
  </si>
  <si>
    <t>PORTFOLIO BASKET TRACKER — METHOD 6</t>
  </si>
  <si>
    <t>Reference stock (basis fixed at inception): Technocraft Industries (India) Ltd (₹2564.9)</t>
  </si>
  <si>
    <t>Method:- Joseph Piotroski</t>
  </si>
  <si>
    <t>Piotroski score &gt; 6 AND</t>
  </si>
  <si>
    <t>Return on capital employed &gt; 15 AND</t>
  </si>
  <si>
    <t>YOY Quarterly profit growth &gt; 7 AND</t>
  </si>
  <si>
    <t>Current ratio &gt; 1 AND</t>
  </si>
  <si>
    <t>Indiabulls Ltd</t>
  </si>
  <si>
    <t>Price to book value &lt; 3 AND</t>
  </si>
  <si>
    <t>Jayaswal Neco Industries Ltd</t>
  </si>
  <si>
    <t>Dividend yield &lt; 4 AND</t>
  </si>
  <si>
    <t>JK Tyre &amp; Industries Ltd</t>
  </si>
  <si>
    <t>Market Capitalization &lt; 25000</t>
  </si>
  <si>
    <t>Deep Industries Ltd</t>
  </si>
  <si>
    <t>Sarda Energy &amp; Minerals Ltd</t>
  </si>
  <si>
    <t>Tanla Platforms Ltd</t>
  </si>
  <si>
    <t>Siyaram Silk Mills Ltd</t>
  </si>
  <si>
    <t>AGI Greenpac Ltd</t>
  </si>
  <si>
    <t>Sharda Cropchem Ltd</t>
  </si>
  <si>
    <t>Chennai Petroleum Corporation Ltd</t>
  </si>
  <si>
    <t>Seamec Ltd</t>
  </si>
  <si>
    <t>Great Eastern Shipping Company Ltd</t>
  </si>
  <si>
    <t>Bombay Burmah Trading Corporation, Ltd</t>
  </si>
  <si>
    <t>Mastek Ltd</t>
  </si>
  <si>
    <t>Technocraft Industries (India) Ltd</t>
  </si>
  <si>
    <t>PORTFOLIO BASKET TRACKER — METHOD SELF</t>
  </si>
  <si>
    <t>Reference stock (basis fixed at inception): Oracle Financial Services Software Ltd (₹10775.5)</t>
  </si>
  <si>
    <t>FII holding &gt; 1 AND</t>
  </si>
  <si>
    <t>Return on equity &gt; 16 AND</t>
  </si>
  <si>
    <t>Dividend yield &gt; 2 AND</t>
  </si>
  <si>
    <t>Operating profit &gt; 15 AND</t>
  </si>
  <si>
    <t>Canara Bank Ltd</t>
  </si>
  <si>
    <t>Power Grid Corporation of India Ltd</t>
  </si>
  <si>
    <t>REC Ltd</t>
  </si>
  <si>
    <t>Power Finance Corporation Ltd</t>
  </si>
  <si>
    <t>Tech Mahindra Ltd</t>
  </si>
  <si>
    <t>Oracle Financial Services Software Ltd</t>
  </si>
  <si>
    <t>Student: Vishv Jeet Singh Thakur  |  Institution: UPES   |  Weekly Basket Performance Tracking (Basis Fixed at Inception)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</si>
</sst>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9" x14ac:knownFonts="1">
    <font>
      <sz val="11"/>
      <color theme="1"/>
      <name val="Calibri"/>
      <family val="2"/>
      <charset val="1"/>
    </font>
    <font>
      <b/>
      <sz val="22"/>
      <color rgb="FFFFFFFF"/>
      <name val="Calibri"/>
      <family val="2"/>
    </font>
    <font>
      <sz val="11"/>
      <color rgb="FFFFFFFF"/>
      <name val="Calibri"/>
      <family val="2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1A3A5C"/>
      <name val="Calibri"/>
      <family val="2"/>
    </font>
    <font>
      <sz val="9"/>
      <color rgb="FF000000"/>
      <name val="Calibri"/>
      <family val="2"/>
    </font>
    <font>
      <sz val="8"/>
      <color rgb="FF595959"/>
      <name val="Calibri"/>
      <family val="2"/>
    </font>
    <font>
      <b/>
      <sz val="9"/>
      <color rgb="FF1155CC"/>
      <name val="Calibri"/>
      <family val="2"/>
    </font>
    <font>
      <b/>
      <sz val="16"/>
      <color rgb="FFFFFFFF"/>
      <name val="Calibri"/>
      <family val="2"/>
    </font>
    <font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22222F"/>
      <name val="Calibri"/>
      <family val="2"/>
    </font>
    <font>
      <sz val="10"/>
      <name val="Calibri"/>
      <family val="2"/>
    </font>
    <font>
      <b/>
      <sz val="9"/>
      <color rgb="FFFFFFFF"/>
      <name val="Calibri"/>
      <family val="2"/>
    </font>
    <font>
      <b/>
      <sz val="14"/>
      <color rgb="FF0D1B2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D1B2A"/>
        <bgColor rgb="FF22222F"/>
      </patternFill>
    </fill>
    <fill>
      <patternFill patternType="solid">
        <fgColor rgb="FF1A3A5C"/>
        <bgColor rgb="FF22222F"/>
      </patternFill>
    </fill>
    <fill>
      <patternFill patternType="solid">
        <fgColor rgb="FFD6E4F0"/>
        <bgColor rgb="FFEFF4FA"/>
      </patternFill>
    </fill>
    <fill>
      <patternFill patternType="solid">
        <fgColor rgb="FFFFFFFF"/>
        <bgColor rgb="FFEFF4FA"/>
      </patternFill>
    </fill>
    <fill>
      <patternFill patternType="solid">
        <fgColor rgb="FFB8860B"/>
        <bgColor rgb="FFFF9900"/>
      </patternFill>
    </fill>
    <fill>
      <patternFill patternType="solid">
        <fgColor rgb="FFEFF4FA"/>
        <bgColor rgb="FFFFFFFF"/>
      </patternFill>
    </fill>
    <fill>
      <patternFill patternType="solid">
        <fgColor rgb="FFF2E4C9"/>
        <bgColor rgb="FFD6E4F0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 style="thin">
        <color rgb="FFB8860B"/>
      </right>
      <top/>
      <bottom style="thin">
        <color rgb="FFB8860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10" fontId="18" fillId="7" borderId="0" xfId="0" applyNumberFormat="1" applyFont="1" applyFill="1" applyAlignment="1">
      <alignment horizontal="center" vertical="center"/>
    </xf>
    <xf numFmtId="164" fontId="18" fillId="7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5" fillId="5" borderId="0" xfId="0" applyFont="1" applyFill="1"/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0" fontId="9" fillId="4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10" fontId="9" fillId="5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indent="1"/>
    </xf>
    <xf numFmtId="0" fontId="16" fillId="0" borderId="0" xfId="0" applyFont="1"/>
    <xf numFmtId="0" fontId="17" fillId="3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5" fillId="0" borderId="5" xfId="0" applyFont="1" applyBorder="1" applyAlignment="1">
      <alignment horizontal="left" vertical="center" indent="1"/>
    </xf>
    <xf numFmtId="3" fontId="9" fillId="4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0" fillId="3" borderId="0" xfId="0" applyFill="1"/>
    <xf numFmtId="164" fontId="17" fillId="3" borderId="0" xfId="0" applyNumberFormat="1" applyFont="1" applyFill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70"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  <dxf>
      <font>
        <b/>
        <sz val="14"/>
        <color rgb="FF9C0006"/>
        <name val="Calibri"/>
        <charset val="1"/>
      </font>
    </dxf>
    <dxf>
      <font>
        <b/>
        <sz val="14"/>
        <color rgb="FF1E6B2E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2E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EFF4FA"/>
      <rgbColor rgb="FFCCFFFF"/>
      <rgbColor rgb="FF660066"/>
      <rgbColor rgb="FFFF8080"/>
      <rgbColor rgb="FF1155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E4C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A3A5C"/>
      <rgbColor rgb="FF339966"/>
      <rgbColor rgb="FF0D1B2A"/>
      <rgbColor rgb="FF333300"/>
      <rgbColor rgb="FF993300"/>
      <rgbColor rgb="FF993366"/>
      <rgbColor rgb="FF333399"/>
      <rgbColor rgb="FF2222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zoomScaleNormal="100" workbookViewId="0">
      <selection activeCell="B26" sqref="B26"/>
    </sheetView>
  </sheetViews>
  <sheetFormatPr defaultColWidth="8.6640625" defaultRowHeight="14.4" x14ac:dyDescent="0.3"/>
  <cols>
    <col min="1" max="1" width="30" customWidth="1"/>
    <col min="2" max="2" width="55" customWidth="1"/>
    <col min="3" max="3" width="20" customWidth="1"/>
    <col min="4" max="4" width="22" customWidth="1"/>
    <col min="5" max="5" width="18" customWidth="1"/>
  </cols>
  <sheetData>
    <row r="1" spans="1:5" ht="31.5" customHeight="1" x14ac:dyDescent="0.3">
      <c r="A1" s="4" t="s">
        <v>0</v>
      </c>
      <c r="B1" s="4"/>
      <c r="C1" s="4"/>
      <c r="D1" s="4"/>
    </row>
    <row r="2" spans="1:5" ht="15" customHeight="1" x14ac:dyDescent="0.3">
      <c r="A2" s="3" t="s">
        <v>1</v>
      </c>
      <c r="B2" s="3"/>
      <c r="C2" s="3"/>
      <c r="D2" s="3"/>
    </row>
    <row r="4" spans="1:5" ht="18" customHeight="1" x14ac:dyDescent="0.3">
      <c r="A4" s="13" t="s">
        <v>2</v>
      </c>
      <c r="B4" s="14" t="s">
        <v>3</v>
      </c>
    </row>
    <row r="5" spans="1:5" ht="18" customHeight="1" x14ac:dyDescent="0.3">
      <c r="A5" s="13" t="s">
        <v>4</v>
      </c>
      <c r="B5" s="15" t="s">
        <v>5</v>
      </c>
    </row>
    <row r="6" spans="1:5" ht="18" customHeight="1" x14ac:dyDescent="0.3">
      <c r="A6" s="13" t="s">
        <v>6</v>
      </c>
      <c r="B6" s="14" t="s">
        <v>7</v>
      </c>
    </row>
    <row r="7" spans="1:5" ht="18" customHeight="1" x14ac:dyDescent="0.3">
      <c r="A7" s="13" t="s">
        <v>8</v>
      </c>
      <c r="B7" s="15" t="s">
        <v>9</v>
      </c>
    </row>
    <row r="8" spans="1:5" ht="18" customHeight="1" x14ac:dyDescent="0.3">
      <c r="A8" s="13" t="s">
        <v>10</v>
      </c>
      <c r="B8" s="14" t="s">
        <v>11</v>
      </c>
    </row>
    <row r="9" spans="1:5" ht="18" customHeight="1" x14ac:dyDescent="0.3">
      <c r="A9" s="13" t="s">
        <v>12</v>
      </c>
      <c r="B9" s="15" t="s">
        <v>13</v>
      </c>
    </row>
    <row r="10" spans="1:5" ht="18" customHeight="1" x14ac:dyDescent="0.3">
      <c r="A10" s="13" t="s">
        <v>14</v>
      </c>
      <c r="B10" s="14" t="s">
        <v>15</v>
      </c>
    </row>
    <row r="12" spans="1:5" ht="27.75" customHeight="1" x14ac:dyDescent="0.3">
      <c r="A12" s="2" t="s">
        <v>16</v>
      </c>
      <c r="B12" s="2"/>
      <c r="C12" s="2"/>
      <c r="D12" s="2"/>
      <c r="E12" s="2"/>
    </row>
    <row r="13" spans="1:5" ht="15" customHeight="1" x14ac:dyDescent="0.3">
      <c r="A13" s="16" t="s">
        <v>17</v>
      </c>
      <c r="B13" s="16" t="s">
        <v>18</v>
      </c>
      <c r="C13" s="16" t="s">
        <v>19</v>
      </c>
      <c r="D13" s="16" t="s">
        <v>20</v>
      </c>
      <c r="E13" s="16" t="s">
        <v>21</v>
      </c>
    </row>
    <row r="14" spans="1:5" ht="15" customHeight="1" x14ac:dyDescent="0.3">
      <c r="A14" s="17">
        <v>1</v>
      </c>
      <c r="B14" s="18" t="s">
        <v>22</v>
      </c>
      <c r="C14" s="19">
        <f>'Method 1'!A87</f>
        <v>11</v>
      </c>
      <c r="D14" s="20">
        <f>'Method 1'!B87</f>
        <v>114341.55</v>
      </c>
      <c r="E14" s="21">
        <f>'Method 1'!F87</f>
        <v>-2.6531037929781353E-2</v>
      </c>
    </row>
    <row r="15" spans="1:5" ht="15" customHeight="1" x14ac:dyDescent="0.3">
      <c r="A15" s="22">
        <v>2</v>
      </c>
      <c r="B15" s="23" t="s">
        <v>23</v>
      </c>
      <c r="C15" s="24">
        <f>'Method 2'!A91</f>
        <v>12</v>
      </c>
      <c r="D15" s="25">
        <f>'Method 2'!B91</f>
        <v>56331.880000000005</v>
      </c>
      <c r="E15" s="26">
        <f>'Method 2'!F91</f>
        <v>7.5766333379961581E-2</v>
      </c>
    </row>
    <row r="16" spans="1:5" ht="15" customHeight="1" x14ac:dyDescent="0.3">
      <c r="A16" s="17">
        <v>3</v>
      </c>
      <c r="B16" s="18" t="s">
        <v>24</v>
      </c>
      <c r="C16" s="19">
        <f>'Method 3'!A87</f>
        <v>11</v>
      </c>
      <c r="D16" s="20">
        <f>'Method 3'!B87</f>
        <v>22506.789999999997</v>
      </c>
      <c r="E16" s="21">
        <f>'Method 3'!F87</f>
        <v>1.8406445343827536E-2</v>
      </c>
    </row>
    <row r="17" spans="1:5" ht="15" customHeight="1" x14ac:dyDescent="0.3">
      <c r="A17" s="22">
        <v>4</v>
      </c>
      <c r="B17" s="23" t="s">
        <v>25</v>
      </c>
      <c r="C17" s="24">
        <f>'Method 4'!A79</f>
        <v>9</v>
      </c>
      <c r="D17" s="25">
        <f>'Method 4'!B79</f>
        <v>1153084</v>
      </c>
      <c r="E17" s="26">
        <f>'Method 4'!F79</f>
        <v>1.1477654706855661E-2</v>
      </c>
    </row>
    <row r="18" spans="1:5" ht="15" customHeight="1" x14ac:dyDescent="0.3">
      <c r="A18" s="17">
        <v>5</v>
      </c>
      <c r="B18" s="18" t="s">
        <v>26</v>
      </c>
      <c r="C18" s="19">
        <f>'Method 5'!A99</f>
        <v>14</v>
      </c>
      <c r="D18" s="20">
        <f>'Method 5'!B99</f>
        <v>134726.25</v>
      </c>
      <c r="E18" s="21">
        <f>'Method 5'!F99</f>
        <v>7.3538749872427188E-3</v>
      </c>
    </row>
    <row r="19" spans="1:5" ht="15" customHeight="1" x14ac:dyDescent="0.3">
      <c r="A19" s="22">
        <v>6</v>
      </c>
      <c r="B19" s="23" t="s">
        <v>27</v>
      </c>
      <c r="C19" s="24">
        <f>'Method 6'!A103</f>
        <v>15</v>
      </c>
      <c r="D19" s="25">
        <f>'Method 6'!B103</f>
        <v>40620.120000000003</v>
      </c>
      <c r="E19" s="26">
        <f>'Method 6'!F103</f>
        <v>3.8195111191202731E-2</v>
      </c>
    </row>
    <row r="20" spans="1:5" ht="15" customHeight="1" x14ac:dyDescent="0.3">
      <c r="A20" s="17">
        <v>7</v>
      </c>
      <c r="B20" s="18" t="s">
        <v>28</v>
      </c>
      <c r="C20" s="19">
        <f>'Method Self'!A119</f>
        <v>19</v>
      </c>
      <c r="D20" s="20">
        <f>'Method Self'!B119</f>
        <v>203585.65</v>
      </c>
      <c r="E20" s="21">
        <f>'Method Self'!F119</f>
        <v>4.3759960488374279E-2</v>
      </c>
    </row>
    <row r="21" spans="1:5" ht="15" customHeight="1" x14ac:dyDescent="0.3">
      <c r="A21" s="1" t="s">
        <v>29</v>
      </c>
      <c r="B21" s="1"/>
      <c r="C21" s="16">
        <f>SUM(C14:C20)</f>
        <v>91</v>
      </c>
      <c r="D21" s="27">
        <f>SUM(D14:D20)</f>
        <v>1725196.24</v>
      </c>
      <c r="E21" s="28">
        <f>AVERAGE(E14:E20)</f>
        <v>2.4061191738240447E-2</v>
      </c>
    </row>
    <row r="23" spans="1:5" ht="15" customHeight="1" x14ac:dyDescent="0.3">
      <c r="A23" s="9" t="s">
        <v>30</v>
      </c>
      <c r="B23" s="9"/>
      <c r="C23" s="9"/>
      <c r="D23" s="9"/>
      <c r="E23" s="9"/>
    </row>
  </sheetData>
  <mergeCells count="5">
    <mergeCell ref="A1:D1"/>
    <mergeCell ref="A2:D2"/>
    <mergeCell ref="A12:E12"/>
    <mergeCell ref="A21:B21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zoomScaleNormal="100" workbookViewId="0">
      <selection activeCell="C20" sqref="C20"/>
    </sheetView>
  </sheetViews>
  <sheetFormatPr defaultColWidth="8.6640625" defaultRowHeight="14.4" x14ac:dyDescent="0.3"/>
  <cols>
    <col min="1" max="1" width="6" customWidth="1"/>
    <col min="2" max="2" width="16" customWidth="1"/>
    <col min="3" max="3" width="66" customWidth="1"/>
    <col min="4" max="4" width="20" customWidth="1"/>
  </cols>
  <sheetData>
    <row r="1" spans="1:4" ht="31.5" customHeight="1" x14ac:dyDescent="0.3">
      <c r="A1" s="4" t="s">
        <v>31</v>
      </c>
      <c r="B1" s="4"/>
      <c r="C1" s="4"/>
      <c r="D1" s="4"/>
    </row>
    <row r="2" spans="1:4" ht="15" customHeight="1" x14ac:dyDescent="0.3">
      <c r="A2" s="3" t="s">
        <v>32</v>
      </c>
      <c r="B2" s="3"/>
      <c r="C2" s="3"/>
      <c r="D2" s="3"/>
    </row>
    <row r="4" spans="1:4" ht="15" customHeight="1" x14ac:dyDescent="0.3">
      <c r="A4" s="16" t="s">
        <v>17</v>
      </c>
      <c r="B4" s="16" t="s">
        <v>33</v>
      </c>
      <c r="C4" s="16" t="s">
        <v>34</v>
      </c>
      <c r="D4" s="16" t="s">
        <v>35</v>
      </c>
    </row>
    <row r="5" spans="1:4" ht="15" customHeight="1" x14ac:dyDescent="0.3">
      <c r="A5" s="17">
        <v>1</v>
      </c>
      <c r="B5" s="18" t="s">
        <v>36</v>
      </c>
      <c r="C5" s="29" t="s">
        <v>37</v>
      </c>
      <c r="D5" s="30" t="s">
        <v>38</v>
      </c>
    </row>
    <row r="6" spans="1:4" ht="15" customHeight="1" x14ac:dyDescent="0.3">
      <c r="A6" s="22">
        <v>2</v>
      </c>
      <c r="B6" s="23" t="s">
        <v>22</v>
      </c>
      <c r="C6" s="31" t="s">
        <v>39</v>
      </c>
      <c r="D6" s="32" t="s">
        <v>38</v>
      </c>
    </row>
    <row r="7" spans="1:4" ht="15" customHeight="1" x14ac:dyDescent="0.3">
      <c r="A7" s="17">
        <v>3</v>
      </c>
      <c r="B7" s="18" t="s">
        <v>23</v>
      </c>
      <c r="C7" s="29" t="s">
        <v>40</v>
      </c>
      <c r="D7" s="30" t="s">
        <v>38</v>
      </c>
    </row>
    <row r="8" spans="1:4" ht="15" customHeight="1" x14ac:dyDescent="0.3">
      <c r="A8" s="22">
        <v>4</v>
      </c>
      <c r="B8" s="23" t="s">
        <v>24</v>
      </c>
      <c r="C8" s="31" t="s">
        <v>41</v>
      </c>
      <c r="D8" s="32" t="s">
        <v>38</v>
      </c>
    </row>
    <row r="9" spans="1:4" ht="15" customHeight="1" x14ac:dyDescent="0.3">
      <c r="A9" s="17">
        <v>5</v>
      </c>
      <c r="B9" s="18" t="s">
        <v>25</v>
      </c>
      <c r="C9" s="29" t="s">
        <v>42</v>
      </c>
      <c r="D9" s="30" t="s">
        <v>38</v>
      </c>
    </row>
    <row r="10" spans="1:4" ht="15" customHeight="1" x14ac:dyDescent="0.3">
      <c r="A10" s="22">
        <v>6</v>
      </c>
      <c r="B10" s="23" t="s">
        <v>26</v>
      </c>
      <c r="C10" s="31" t="s">
        <v>43</v>
      </c>
      <c r="D10" s="32" t="s">
        <v>38</v>
      </c>
    </row>
    <row r="11" spans="1:4" ht="15" customHeight="1" x14ac:dyDescent="0.3">
      <c r="A11" s="17">
        <v>7</v>
      </c>
      <c r="B11" s="18" t="s">
        <v>27</v>
      </c>
      <c r="C11" s="29" t="s">
        <v>44</v>
      </c>
      <c r="D11" s="30" t="s">
        <v>38</v>
      </c>
    </row>
    <row r="12" spans="1:4" ht="15" customHeight="1" x14ac:dyDescent="0.3">
      <c r="A12" s="22">
        <v>8</v>
      </c>
      <c r="B12" s="23" t="s">
        <v>28</v>
      </c>
      <c r="C12" s="31" t="s">
        <v>45</v>
      </c>
      <c r="D12" s="32" t="s">
        <v>38</v>
      </c>
    </row>
    <row r="13" spans="1:4" ht="15" customHeight="1" x14ac:dyDescent="0.3">
      <c r="A13" s="9" t="s">
        <v>46</v>
      </c>
      <c r="B13" s="9"/>
      <c r="C13" s="9"/>
      <c r="D13" s="9"/>
    </row>
  </sheetData>
  <mergeCells count="3">
    <mergeCell ref="A1:D1"/>
    <mergeCell ref="A2:D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showGridLines="0" tabSelected="1" zoomScaleNormal="100" workbookViewId="0">
      <pane ySplit="3" topLeftCell="A4" activePane="bottomLeft" state="frozen"/>
      <selection pane="bottomLeft" activeCell="I13" sqref="I13"/>
    </sheetView>
  </sheetViews>
  <sheetFormatPr defaultColWidth="8.6640625" defaultRowHeight="14.4" x14ac:dyDescent="0.3"/>
  <cols>
    <col min="1" max="1" width="34" customWidth="1"/>
    <col min="2" max="3" width="15" customWidth="1"/>
    <col min="4" max="4" width="11" customWidth="1"/>
    <col min="5" max="5" width="12" customWidth="1"/>
    <col min="6" max="7" width="16" customWidth="1"/>
    <col min="9" max="9" width="40" customWidth="1"/>
  </cols>
  <sheetData>
    <row r="1" spans="1:10" ht="25.5" customHeight="1" x14ac:dyDescent="0.3">
      <c r="A1" s="12" t="s">
        <v>47</v>
      </c>
      <c r="B1" s="12"/>
      <c r="C1" s="12"/>
      <c r="D1" s="12"/>
      <c r="E1" s="12"/>
      <c r="F1" s="12"/>
      <c r="G1" s="12"/>
    </row>
    <row r="2" spans="1:10" ht="15.75" customHeight="1" x14ac:dyDescent="0.3">
      <c r="A2" s="11" t="s">
        <v>188</v>
      </c>
      <c r="B2" s="11"/>
      <c r="C2" s="11"/>
      <c r="D2" s="11"/>
      <c r="E2" s="11"/>
      <c r="F2" s="11"/>
      <c r="G2" s="11"/>
    </row>
    <row r="4" spans="1:10" ht="18" customHeight="1" x14ac:dyDescent="0.3">
      <c r="A4" s="10" t="s">
        <v>48</v>
      </c>
      <c r="B4" s="10"/>
      <c r="C4" s="10"/>
      <c r="D4" s="10"/>
      <c r="E4" s="10"/>
      <c r="F4" s="10"/>
      <c r="G4" s="10"/>
      <c r="I4" s="33" t="s">
        <v>49</v>
      </c>
    </row>
    <row r="5" spans="1:10" ht="15" customHeight="1" x14ac:dyDescent="0.3">
      <c r="A5" s="9" t="s">
        <v>50</v>
      </c>
      <c r="B5" s="9"/>
      <c r="C5" s="9"/>
      <c r="D5" s="9"/>
      <c r="E5" s="9"/>
      <c r="F5" s="9"/>
      <c r="G5" s="9"/>
      <c r="I5" s="34" t="s">
        <v>51</v>
      </c>
      <c r="J5" s="35"/>
    </row>
    <row r="6" spans="1:10" ht="15.75" customHeight="1" x14ac:dyDescent="0.3">
      <c r="A6" s="36" t="s">
        <v>19</v>
      </c>
      <c r="B6" s="8" t="s">
        <v>52</v>
      </c>
      <c r="C6" s="8"/>
      <c r="D6" s="8" t="s">
        <v>53</v>
      </c>
      <c r="E6" s="8"/>
      <c r="F6" s="8" t="s">
        <v>54</v>
      </c>
      <c r="G6" s="8"/>
      <c r="I6" s="34" t="s">
        <v>55</v>
      </c>
      <c r="J6" s="35"/>
    </row>
    <row r="7" spans="1:10" ht="21.75" customHeight="1" x14ac:dyDescent="0.3">
      <c r="A7" s="37">
        <f>COUNT(B11:B21)</f>
        <v>11</v>
      </c>
      <c r="B7" s="7">
        <f>F22</f>
        <v>114341.55</v>
      </c>
      <c r="C7" s="7"/>
      <c r="D7" s="7">
        <f>G22</f>
        <v>113377.09999999999</v>
      </c>
      <c r="E7" s="7"/>
      <c r="F7" s="6">
        <f>(G22-F22)/F22</f>
        <v>-8.4348165649320971E-3</v>
      </c>
      <c r="G7" s="6"/>
      <c r="I7" s="38" t="s">
        <v>56</v>
      </c>
      <c r="J7" s="35"/>
    </row>
    <row r="8" spans="1:10" ht="14.25" customHeight="1" x14ac:dyDescent="0.3">
      <c r="J8" s="35"/>
    </row>
    <row r="9" spans="1:10" ht="18" customHeight="1" x14ac:dyDescent="0.3">
      <c r="A9" s="10" t="s">
        <v>57</v>
      </c>
      <c r="B9" s="10"/>
      <c r="C9" s="10"/>
      <c r="D9" s="10"/>
      <c r="E9" s="10"/>
      <c r="F9" s="10"/>
      <c r="G9" s="10"/>
    </row>
    <row r="10" spans="1:10" ht="15" customHeight="1" x14ac:dyDescent="0.3">
      <c r="A10" s="36" t="s">
        <v>58</v>
      </c>
      <c r="B10" s="36" t="s">
        <v>59</v>
      </c>
      <c r="C10" s="36" t="s">
        <v>60</v>
      </c>
      <c r="D10" s="36" t="s">
        <v>61</v>
      </c>
      <c r="E10" s="36" t="s">
        <v>62</v>
      </c>
      <c r="F10" s="36" t="s">
        <v>63</v>
      </c>
      <c r="G10" s="36" t="s">
        <v>53</v>
      </c>
    </row>
    <row r="11" spans="1:10" ht="15" customHeight="1" x14ac:dyDescent="0.3">
      <c r="A11" s="29" t="s">
        <v>64</v>
      </c>
      <c r="B11" s="20">
        <v>280.75</v>
      </c>
      <c r="C11" s="20">
        <v>280.39999999999998</v>
      </c>
      <c r="D11" s="21">
        <f t="shared" ref="D11:D21" si="0">(C11-B11)/B11</f>
        <v>-1.2466607301870802E-3</v>
      </c>
      <c r="E11" s="39">
        <f t="shared" ref="E11:E21" si="1">ROUND($B$21/B11,0)</f>
        <v>35</v>
      </c>
      <c r="F11" s="20">
        <f t="shared" ref="F11:F21" si="2">B11*E11</f>
        <v>9826.25</v>
      </c>
      <c r="G11" s="20">
        <f t="shared" ref="G11:G21" si="3">C11*E11</f>
        <v>9814</v>
      </c>
    </row>
    <row r="12" spans="1:10" ht="15" customHeight="1" x14ac:dyDescent="0.3">
      <c r="A12" s="31" t="s">
        <v>65</v>
      </c>
      <c r="B12" s="25">
        <v>1051</v>
      </c>
      <c r="C12" s="25">
        <v>1046.8</v>
      </c>
      <c r="D12" s="26">
        <f t="shared" si="0"/>
        <v>-3.9961941008563708E-3</v>
      </c>
      <c r="E12" s="40">
        <f t="shared" si="1"/>
        <v>9</v>
      </c>
      <c r="F12" s="25">
        <f t="shared" si="2"/>
        <v>9459</v>
      </c>
      <c r="G12" s="25">
        <f t="shared" si="3"/>
        <v>9421.1999999999989</v>
      </c>
    </row>
    <row r="13" spans="1:10" ht="15" customHeight="1" x14ac:dyDescent="0.3">
      <c r="A13" s="29" t="s">
        <v>66</v>
      </c>
      <c r="B13" s="20">
        <v>1173.95</v>
      </c>
      <c r="C13" s="20">
        <v>1325.4</v>
      </c>
      <c r="D13" s="21">
        <f t="shared" si="0"/>
        <v>0.12900890157161723</v>
      </c>
      <c r="E13" s="39">
        <f t="shared" si="1"/>
        <v>8</v>
      </c>
      <c r="F13" s="20">
        <f t="shared" si="2"/>
        <v>9391.6</v>
      </c>
      <c r="G13" s="20">
        <f t="shared" si="3"/>
        <v>10603.2</v>
      </c>
    </row>
    <row r="14" spans="1:10" ht="15" customHeight="1" x14ac:dyDescent="0.3">
      <c r="A14" s="31" t="s">
        <v>67</v>
      </c>
      <c r="B14" s="25">
        <v>2204.3000000000002</v>
      </c>
      <c r="C14" s="25">
        <v>2211</v>
      </c>
      <c r="D14" s="26">
        <f t="shared" si="0"/>
        <v>3.0395136778114673E-3</v>
      </c>
      <c r="E14" s="40">
        <f t="shared" si="1"/>
        <v>5</v>
      </c>
      <c r="F14" s="25">
        <f t="shared" si="2"/>
        <v>11021.5</v>
      </c>
      <c r="G14" s="25">
        <f t="shared" si="3"/>
        <v>11055</v>
      </c>
    </row>
    <row r="15" spans="1:10" ht="15" customHeight="1" x14ac:dyDescent="0.3">
      <c r="A15" s="29" t="s">
        <v>68</v>
      </c>
      <c r="B15" s="20">
        <v>2837.2</v>
      </c>
      <c r="C15" s="20">
        <v>2814</v>
      </c>
      <c r="D15" s="21">
        <f t="shared" si="0"/>
        <v>-8.1770759904130196E-3</v>
      </c>
      <c r="E15" s="39">
        <f t="shared" si="1"/>
        <v>4</v>
      </c>
      <c r="F15" s="20">
        <f t="shared" si="2"/>
        <v>11348.8</v>
      </c>
      <c r="G15" s="20">
        <f t="shared" si="3"/>
        <v>11256</v>
      </c>
    </row>
    <row r="16" spans="1:10" ht="15" customHeight="1" x14ac:dyDescent="0.3">
      <c r="A16" s="31" t="s">
        <v>69</v>
      </c>
      <c r="B16" s="25">
        <v>3647</v>
      </c>
      <c r="C16" s="25">
        <v>3588.4</v>
      </c>
      <c r="D16" s="26">
        <f t="shared" si="0"/>
        <v>-1.6068001096791858E-2</v>
      </c>
      <c r="E16" s="40">
        <f t="shared" si="1"/>
        <v>3</v>
      </c>
      <c r="F16" s="25">
        <f t="shared" si="2"/>
        <v>10941</v>
      </c>
      <c r="G16" s="25">
        <f t="shared" si="3"/>
        <v>10765.2</v>
      </c>
    </row>
    <row r="17" spans="1:7" ht="15" customHeight="1" x14ac:dyDescent="0.3">
      <c r="A17" s="29" t="s">
        <v>70</v>
      </c>
      <c r="B17" s="20">
        <v>3865.6</v>
      </c>
      <c r="C17" s="20">
        <v>3816.6</v>
      </c>
      <c r="D17" s="21">
        <f t="shared" si="0"/>
        <v>-1.2675910596026491E-2</v>
      </c>
      <c r="E17" s="39">
        <f t="shared" si="1"/>
        <v>3</v>
      </c>
      <c r="F17" s="20">
        <f t="shared" si="2"/>
        <v>11596.8</v>
      </c>
      <c r="G17" s="20">
        <f t="shared" si="3"/>
        <v>11449.8</v>
      </c>
    </row>
    <row r="18" spans="1:7" ht="15" customHeight="1" x14ac:dyDescent="0.3">
      <c r="A18" s="31" t="s">
        <v>71</v>
      </c>
      <c r="B18" s="25">
        <v>4794.3</v>
      </c>
      <c r="C18" s="25">
        <v>4852.6000000000004</v>
      </c>
      <c r="D18" s="26">
        <f t="shared" si="0"/>
        <v>1.2160273658302604E-2</v>
      </c>
      <c r="E18" s="40">
        <f t="shared" si="1"/>
        <v>2</v>
      </c>
      <c r="F18" s="25">
        <f t="shared" si="2"/>
        <v>9588.6</v>
      </c>
      <c r="G18" s="25">
        <f t="shared" si="3"/>
        <v>9705.2000000000007</v>
      </c>
    </row>
    <row r="19" spans="1:7" ht="15" customHeight="1" x14ac:dyDescent="0.3">
      <c r="A19" s="29" t="s">
        <v>72</v>
      </c>
      <c r="B19" s="20">
        <v>4944</v>
      </c>
      <c r="C19" s="20">
        <v>4401.5</v>
      </c>
      <c r="D19" s="21">
        <f t="shared" si="0"/>
        <v>-0.1097289644012945</v>
      </c>
      <c r="E19" s="39">
        <f t="shared" si="1"/>
        <v>2</v>
      </c>
      <c r="F19" s="20">
        <f t="shared" si="2"/>
        <v>9888</v>
      </c>
      <c r="G19" s="20">
        <f t="shared" si="3"/>
        <v>8803</v>
      </c>
    </row>
    <row r="20" spans="1:7" ht="15" customHeight="1" x14ac:dyDescent="0.3">
      <c r="A20" s="31" t="s">
        <v>73</v>
      </c>
      <c r="B20" s="25">
        <v>5659.5</v>
      </c>
      <c r="C20" s="25">
        <v>5478</v>
      </c>
      <c r="D20" s="26">
        <f t="shared" si="0"/>
        <v>-3.2069970845481049E-2</v>
      </c>
      <c r="E20" s="40">
        <f t="shared" si="1"/>
        <v>2</v>
      </c>
      <c r="F20" s="25">
        <f t="shared" si="2"/>
        <v>11319</v>
      </c>
      <c r="G20" s="25">
        <f t="shared" si="3"/>
        <v>10956</v>
      </c>
    </row>
    <row r="21" spans="1:7" ht="15" customHeight="1" x14ac:dyDescent="0.3">
      <c r="A21" s="29" t="s">
        <v>74</v>
      </c>
      <c r="B21" s="20">
        <v>9961</v>
      </c>
      <c r="C21" s="20">
        <v>9548.5</v>
      </c>
      <c r="D21" s="21">
        <f t="shared" si="0"/>
        <v>-4.1411504868989056E-2</v>
      </c>
      <c r="E21" s="39">
        <f t="shared" si="1"/>
        <v>1</v>
      </c>
      <c r="F21" s="20">
        <f t="shared" si="2"/>
        <v>9961</v>
      </c>
      <c r="G21" s="20">
        <f t="shared" si="3"/>
        <v>9548.5</v>
      </c>
    </row>
    <row r="22" spans="1:7" ht="15" customHeight="1" x14ac:dyDescent="0.3">
      <c r="A22" s="41" t="s">
        <v>75</v>
      </c>
      <c r="B22" s="42"/>
      <c r="C22" s="42"/>
      <c r="D22" s="42"/>
      <c r="E22" s="42"/>
      <c r="F22" s="43">
        <f>SUM(F11:F21)</f>
        <v>114341.55</v>
      </c>
      <c r="G22" s="43">
        <f>SUM(G11:G21)</f>
        <v>113377.09999999999</v>
      </c>
    </row>
    <row r="24" spans="1:7" ht="18" customHeight="1" x14ac:dyDescent="0.3">
      <c r="A24" s="10" t="s">
        <v>76</v>
      </c>
      <c r="B24" s="10"/>
      <c r="C24" s="10"/>
      <c r="D24" s="10"/>
      <c r="E24" s="10"/>
      <c r="F24" s="10"/>
      <c r="G24" s="10"/>
    </row>
    <row r="25" spans="1:7" ht="15" customHeight="1" x14ac:dyDescent="0.3">
      <c r="A25" s="9" t="s">
        <v>77</v>
      </c>
      <c r="B25" s="9"/>
      <c r="C25" s="9"/>
      <c r="D25" s="9"/>
      <c r="E25" s="9"/>
      <c r="F25" s="9"/>
      <c r="G25" s="9"/>
    </row>
    <row r="26" spans="1:7" ht="15.75" customHeight="1" x14ac:dyDescent="0.3">
      <c r="A26" s="36" t="s">
        <v>19</v>
      </c>
      <c r="B26" s="8" t="s">
        <v>52</v>
      </c>
      <c r="C26" s="8"/>
      <c r="D26" s="8" t="s">
        <v>53</v>
      </c>
      <c r="E26" s="8"/>
      <c r="F26" s="8" t="s">
        <v>78</v>
      </c>
      <c r="G26" s="8"/>
    </row>
    <row r="27" spans="1:7" ht="21.75" customHeight="1" x14ac:dyDescent="0.3">
      <c r="A27" s="37">
        <f>COUNT(B31:B41)</f>
        <v>11</v>
      </c>
      <c r="B27" s="7">
        <f>F42</f>
        <v>114341.55</v>
      </c>
      <c r="C27" s="7"/>
      <c r="D27" s="7">
        <f>G42</f>
        <v>114188.05</v>
      </c>
      <c r="E27" s="7"/>
      <c r="F27" s="6">
        <f>(G42-F42)/F42</f>
        <v>-1.3424691199305939E-3</v>
      </c>
      <c r="G27" s="6"/>
    </row>
    <row r="29" spans="1:7" ht="18" customHeight="1" x14ac:dyDescent="0.3">
      <c r="A29" s="10" t="s">
        <v>79</v>
      </c>
      <c r="B29" s="10"/>
      <c r="C29" s="10"/>
      <c r="D29" s="10"/>
      <c r="E29" s="10"/>
      <c r="F29" s="10"/>
      <c r="G29" s="10"/>
    </row>
    <row r="30" spans="1:7" ht="15" customHeight="1" x14ac:dyDescent="0.3">
      <c r="A30" s="36" t="s">
        <v>58</v>
      </c>
      <c r="B30" s="36" t="s">
        <v>59</v>
      </c>
      <c r="C30" s="36" t="s">
        <v>80</v>
      </c>
      <c r="D30" s="36" t="s">
        <v>61</v>
      </c>
      <c r="E30" s="36" t="s">
        <v>62</v>
      </c>
      <c r="F30" s="36" t="s">
        <v>63</v>
      </c>
      <c r="G30" s="36" t="s">
        <v>53</v>
      </c>
    </row>
    <row r="31" spans="1:7" ht="15" customHeight="1" x14ac:dyDescent="0.3">
      <c r="A31" s="29" t="s">
        <v>64</v>
      </c>
      <c r="B31" s="20">
        <v>280.75</v>
      </c>
      <c r="C31" s="20">
        <v>272.55</v>
      </c>
      <c r="D31" s="21">
        <f t="shared" ref="D31:D41" si="4">(C31-B31)/B31</f>
        <v>-2.920747996438108E-2</v>
      </c>
      <c r="E31" s="39">
        <f t="shared" ref="E31:E41" si="5">ROUND($B$21/B31,0)</f>
        <v>35</v>
      </c>
      <c r="F31" s="20">
        <f t="shared" ref="F31:F41" si="6">B31*E31</f>
        <v>9826.25</v>
      </c>
      <c r="G31" s="20">
        <f t="shared" ref="G31:G41" si="7">C31*E31</f>
        <v>9539.25</v>
      </c>
    </row>
    <row r="32" spans="1:7" ht="15" customHeight="1" x14ac:dyDescent="0.3">
      <c r="A32" s="31" t="s">
        <v>65</v>
      </c>
      <c r="B32" s="25">
        <v>1051</v>
      </c>
      <c r="C32" s="25">
        <v>1117.2</v>
      </c>
      <c r="D32" s="26">
        <f t="shared" si="4"/>
        <v>6.2987630827783109E-2</v>
      </c>
      <c r="E32" s="40">
        <f t="shared" si="5"/>
        <v>9</v>
      </c>
      <c r="F32" s="25">
        <f t="shared" si="6"/>
        <v>9459</v>
      </c>
      <c r="G32" s="25">
        <f t="shared" si="7"/>
        <v>10054.800000000001</v>
      </c>
    </row>
    <row r="33" spans="1:7" ht="15" customHeight="1" x14ac:dyDescent="0.3">
      <c r="A33" s="29" t="s">
        <v>66</v>
      </c>
      <c r="B33" s="20">
        <v>1173.95</v>
      </c>
      <c r="C33" s="20">
        <v>1246.0999999999999</v>
      </c>
      <c r="D33" s="21">
        <f t="shared" si="4"/>
        <v>6.1459176285190903E-2</v>
      </c>
      <c r="E33" s="39">
        <f t="shared" si="5"/>
        <v>8</v>
      </c>
      <c r="F33" s="20">
        <f t="shared" si="6"/>
        <v>9391.6</v>
      </c>
      <c r="G33" s="20">
        <f t="shared" si="7"/>
        <v>9968.7999999999993</v>
      </c>
    </row>
    <row r="34" spans="1:7" ht="15" customHeight="1" x14ac:dyDescent="0.3">
      <c r="A34" s="31" t="s">
        <v>67</v>
      </c>
      <c r="B34" s="25">
        <v>2204.3000000000002</v>
      </c>
      <c r="C34" s="25">
        <v>2282.9</v>
      </c>
      <c r="D34" s="26">
        <f t="shared" si="4"/>
        <v>3.5657578369550379E-2</v>
      </c>
      <c r="E34" s="40">
        <f t="shared" si="5"/>
        <v>5</v>
      </c>
      <c r="F34" s="25">
        <f t="shared" si="6"/>
        <v>11021.5</v>
      </c>
      <c r="G34" s="25">
        <f t="shared" si="7"/>
        <v>11414.5</v>
      </c>
    </row>
    <row r="35" spans="1:7" ht="15" customHeight="1" x14ac:dyDescent="0.3">
      <c r="A35" s="29" t="s">
        <v>68</v>
      </c>
      <c r="B35" s="20">
        <v>2837.2</v>
      </c>
      <c r="C35" s="20">
        <v>2770.7</v>
      </c>
      <c r="D35" s="21">
        <f t="shared" si="4"/>
        <v>-2.3438601438037502E-2</v>
      </c>
      <c r="E35" s="39">
        <f t="shared" si="5"/>
        <v>4</v>
      </c>
      <c r="F35" s="20">
        <f t="shared" si="6"/>
        <v>11348.8</v>
      </c>
      <c r="G35" s="20">
        <f t="shared" si="7"/>
        <v>11082.8</v>
      </c>
    </row>
    <row r="36" spans="1:7" ht="15" customHeight="1" x14ac:dyDescent="0.3">
      <c r="A36" s="31" t="s">
        <v>69</v>
      </c>
      <c r="B36" s="25">
        <v>3647</v>
      </c>
      <c r="C36" s="25">
        <v>3662.4</v>
      </c>
      <c r="D36" s="26">
        <f t="shared" si="4"/>
        <v>4.2226487523992573E-3</v>
      </c>
      <c r="E36" s="40">
        <f t="shared" si="5"/>
        <v>3</v>
      </c>
      <c r="F36" s="25">
        <f t="shared" si="6"/>
        <v>10941</v>
      </c>
      <c r="G36" s="25">
        <f t="shared" si="7"/>
        <v>10987.2</v>
      </c>
    </row>
    <row r="37" spans="1:7" ht="15" customHeight="1" x14ac:dyDescent="0.3">
      <c r="A37" s="29" t="s">
        <v>70</v>
      </c>
      <c r="B37" s="20">
        <v>3865.6</v>
      </c>
      <c r="C37" s="20">
        <v>3811.6</v>
      </c>
      <c r="D37" s="21">
        <f t="shared" si="4"/>
        <v>-1.3969370860927153E-2</v>
      </c>
      <c r="E37" s="39">
        <f t="shared" si="5"/>
        <v>3</v>
      </c>
      <c r="F37" s="20">
        <f t="shared" si="6"/>
        <v>11596.8</v>
      </c>
      <c r="G37" s="20">
        <f t="shared" si="7"/>
        <v>11434.8</v>
      </c>
    </row>
    <row r="38" spans="1:7" ht="15" customHeight="1" x14ac:dyDescent="0.3">
      <c r="A38" s="31" t="s">
        <v>71</v>
      </c>
      <c r="B38" s="25">
        <v>4794.3</v>
      </c>
      <c r="C38" s="25">
        <v>4949.1000000000004</v>
      </c>
      <c r="D38" s="26">
        <f t="shared" si="4"/>
        <v>3.2288342406607884E-2</v>
      </c>
      <c r="E38" s="40">
        <f t="shared" si="5"/>
        <v>2</v>
      </c>
      <c r="F38" s="25">
        <f t="shared" si="6"/>
        <v>9588.6</v>
      </c>
      <c r="G38" s="25">
        <f t="shared" si="7"/>
        <v>9898.2000000000007</v>
      </c>
    </row>
    <row r="39" spans="1:7" ht="15" customHeight="1" x14ac:dyDescent="0.3">
      <c r="A39" s="29" t="s">
        <v>72</v>
      </c>
      <c r="B39" s="20">
        <v>4944</v>
      </c>
      <c r="C39" s="20">
        <v>4677.1000000000004</v>
      </c>
      <c r="D39" s="21">
        <f t="shared" si="4"/>
        <v>-5.3984627831715135E-2</v>
      </c>
      <c r="E39" s="39">
        <f t="shared" si="5"/>
        <v>2</v>
      </c>
      <c r="F39" s="20">
        <f t="shared" si="6"/>
        <v>9888</v>
      </c>
      <c r="G39" s="20">
        <f t="shared" si="7"/>
        <v>9354.2000000000007</v>
      </c>
    </row>
    <row r="40" spans="1:7" ht="15" customHeight="1" x14ac:dyDescent="0.3">
      <c r="A40" s="31" t="s">
        <v>73</v>
      </c>
      <c r="B40" s="25">
        <v>5659.5</v>
      </c>
      <c r="C40" s="25">
        <v>5621.5</v>
      </c>
      <c r="D40" s="26">
        <f t="shared" si="4"/>
        <v>-6.7143740613128371E-3</v>
      </c>
      <c r="E40" s="40">
        <f t="shared" si="5"/>
        <v>2</v>
      </c>
      <c r="F40" s="25">
        <f t="shared" si="6"/>
        <v>11319</v>
      </c>
      <c r="G40" s="25">
        <f t="shared" si="7"/>
        <v>11243</v>
      </c>
    </row>
    <row r="41" spans="1:7" ht="15" customHeight="1" x14ac:dyDescent="0.3">
      <c r="A41" s="29" t="s">
        <v>74</v>
      </c>
      <c r="B41" s="20">
        <v>9961</v>
      </c>
      <c r="C41" s="20">
        <v>9210.5</v>
      </c>
      <c r="D41" s="21">
        <f t="shared" si="4"/>
        <v>-7.5343840979821303E-2</v>
      </c>
      <c r="E41" s="39">
        <f t="shared" si="5"/>
        <v>1</v>
      </c>
      <c r="F41" s="20">
        <f t="shared" si="6"/>
        <v>9961</v>
      </c>
      <c r="G41" s="20">
        <f t="shared" si="7"/>
        <v>9210.5</v>
      </c>
    </row>
    <row r="42" spans="1:7" ht="15" customHeight="1" x14ac:dyDescent="0.3">
      <c r="A42" s="41" t="s">
        <v>75</v>
      </c>
      <c r="B42" s="42"/>
      <c r="C42" s="42"/>
      <c r="D42" s="42"/>
      <c r="E42" s="42"/>
      <c r="F42" s="43">
        <f>SUM(F31:F41)</f>
        <v>114341.55</v>
      </c>
      <c r="G42" s="43">
        <f>SUM(G31:G41)</f>
        <v>114188.05</v>
      </c>
    </row>
    <row r="44" spans="1:7" ht="18" customHeight="1" x14ac:dyDescent="0.3">
      <c r="A44" s="10" t="s">
        <v>81</v>
      </c>
      <c r="B44" s="10"/>
      <c r="C44" s="10"/>
      <c r="D44" s="10"/>
      <c r="E44" s="10"/>
      <c r="F44" s="10"/>
      <c r="G44" s="10"/>
    </row>
    <row r="45" spans="1:7" ht="15" customHeight="1" x14ac:dyDescent="0.3">
      <c r="A45" s="9" t="s">
        <v>77</v>
      </c>
      <c r="B45" s="9"/>
      <c r="C45" s="9"/>
      <c r="D45" s="9"/>
      <c r="E45" s="9"/>
      <c r="F45" s="9"/>
      <c r="G45" s="9"/>
    </row>
    <row r="46" spans="1:7" ht="15.75" customHeight="1" x14ac:dyDescent="0.3">
      <c r="A46" s="36" t="s">
        <v>19</v>
      </c>
      <c r="B46" s="8" t="s">
        <v>52</v>
      </c>
      <c r="C46" s="8"/>
      <c r="D46" s="8" t="s">
        <v>53</v>
      </c>
      <c r="E46" s="8"/>
      <c r="F46" s="8" t="s">
        <v>82</v>
      </c>
      <c r="G46" s="8"/>
    </row>
    <row r="47" spans="1:7" ht="21.75" customHeight="1" x14ac:dyDescent="0.3">
      <c r="A47" s="37">
        <f>COUNT(B51:B61)</f>
        <v>11</v>
      </c>
      <c r="B47" s="7">
        <f>F62</f>
        <v>114341.55</v>
      </c>
      <c r="C47" s="7"/>
      <c r="D47" s="7">
        <f>G62</f>
        <v>111534.05000000002</v>
      </c>
      <c r="E47" s="7"/>
      <c r="F47" s="6">
        <f>(G62-F62)/F62</f>
        <v>-2.4553629017622949E-2</v>
      </c>
      <c r="G47" s="6"/>
    </row>
    <row r="49" spans="1:7" ht="18" customHeight="1" x14ac:dyDescent="0.3">
      <c r="A49" s="10" t="s">
        <v>83</v>
      </c>
      <c r="B49" s="10"/>
      <c r="C49" s="10"/>
      <c r="D49" s="10"/>
      <c r="E49" s="10"/>
      <c r="F49" s="10"/>
      <c r="G49" s="10"/>
    </row>
    <row r="50" spans="1:7" ht="15" customHeight="1" x14ac:dyDescent="0.3">
      <c r="A50" s="36" t="s">
        <v>58</v>
      </c>
      <c r="B50" s="36" t="s">
        <v>59</v>
      </c>
      <c r="C50" s="36" t="s">
        <v>84</v>
      </c>
      <c r="D50" s="36" t="s">
        <v>61</v>
      </c>
      <c r="E50" s="36" t="s">
        <v>62</v>
      </c>
      <c r="F50" s="36" t="s">
        <v>63</v>
      </c>
      <c r="G50" s="36" t="s">
        <v>53</v>
      </c>
    </row>
    <row r="51" spans="1:7" ht="15" customHeight="1" x14ac:dyDescent="0.3">
      <c r="A51" s="29" t="s">
        <v>64</v>
      </c>
      <c r="B51" s="20">
        <v>280.75</v>
      </c>
      <c r="C51" s="20">
        <v>253.05</v>
      </c>
      <c r="D51" s="21">
        <f t="shared" ref="D51:D61" si="8">(C51-B51)/B51</f>
        <v>-9.8664292074799598E-2</v>
      </c>
      <c r="E51" s="39">
        <f t="shared" ref="E51:E61" si="9">ROUND($B$21/B51,0)</f>
        <v>35</v>
      </c>
      <c r="F51" s="20">
        <f t="shared" ref="F51:F61" si="10">B51*E51</f>
        <v>9826.25</v>
      </c>
      <c r="G51" s="20">
        <f t="shared" ref="G51:G61" si="11">C51*E51</f>
        <v>8856.75</v>
      </c>
    </row>
    <row r="52" spans="1:7" ht="15" customHeight="1" x14ac:dyDescent="0.3">
      <c r="A52" s="31" t="s">
        <v>65</v>
      </c>
      <c r="B52" s="25">
        <v>1051</v>
      </c>
      <c r="C52" s="25">
        <v>1086.2</v>
      </c>
      <c r="D52" s="26">
        <f t="shared" si="8"/>
        <v>3.3491912464319741E-2</v>
      </c>
      <c r="E52" s="40">
        <f t="shared" si="9"/>
        <v>9</v>
      </c>
      <c r="F52" s="25">
        <f t="shared" si="10"/>
        <v>9459</v>
      </c>
      <c r="G52" s="25">
        <f t="shared" si="11"/>
        <v>9775.8000000000011</v>
      </c>
    </row>
    <row r="53" spans="1:7" ht="15" customHeight="1" x14ac:dyDescent="0.3">
      <c r="A53" s="29" t="s">
        <v>66</v>
      </c>
      <c r="B53" s="20">
        <v>1173.95</v>
      </c>
      <c r="C53" s="20">
        <v>1349.1</v>
      </c>
      <c r="D53" s="21">
        <f t="shared" si="8"/>
        <v>0.14919715490438251</v>
      </c>
      <c r="E53" s="39">
        <f t="shared" si="9"/>
        <v>8</v>
      </c>
      <c r="F53" s="20">
        <f t="shared" si="10"/>
        <v>9391.6</v>
      </c>
      <c r="G53" s="20">
        <f t="shared" si="11"/>
        <v>10792.8</v>
      </c>
    </row>
    <row r="54" spans="1:7" ht="15" customHeight="1" x14ac:dyDescent="0.3">
      <c r="A54" s="31" t="s">
        <v>67</v>
      </c>
      <c r="B54" s="25">
        <v>2204.3000000000002</v>
      </c>
      <c r="C54" s="25">
        <v>2235.5</v>
      </c>
      <c r="D54" s="26">
        <f t="shared" si="8"/>
        <v>1.4154153245928329E-2</v>
      </c>
      <c r="E54" s="40">
        <f t="shared" si="9"/>
        <v>5</v>
      </c>
      <c r="F54" s="25">
        <f t="shared" si="10"/>
        <v>11021.5</v>
      </c>
      <c r="G54" s="25">
        <f t="shared" si="11"/>
        <v>11177.5</v>
      </c>
    </row>
    <row r="55" spans="1:7" ht="15" customHeight="1" x14ac:dyDescent="0.3">
      <c r="A55" s="29" t="s">
        <v>68</v>
      </c>
      <c r="B55" s="20">
        <v>2837.2</v>
      </c>
      <c r="C55" s="20">
        <v>2747.5</v>
      </c>
      <c r="D55" s="21">
        <f t="shared" si="8"/>
        <v>-3.161567742845052E-2</v>
      </c>
      <c r="E55" s="39">
        <f t="shared" si="9"/>
        <v>4</v>
      </c>
      <c r="F55" s="20">
        <f t="shared" si="10"/>
        <v>11348.8</v>
      </c>
      <c r="G55" s="20">
        <f t="shared" si="11"/>
        <v>10990</v>
      </c>
    </row>
    <row r="56" spans="1:7" ht="15" customHeight="1" x14ac:dyDescent="0.3">
      <c r="A56" s="31" t="s">
        <v>69</v>
      </c>
      <c r="B56" s="25">
        <v>3647</v>
      </c>
      <c r="C56" s="25">
        <v>3614.4</v>
      </c>
      <c r="D56" s="26">
        <f t="shared" si="8"/>
        <v>-8.9388538524814674E-3</v>
      </c>
      <c r="E56" s="40">
        <f t="shared" si="9"/>
        <v>3</v>
      </c>
      <c r="F56" s="25">
        <f t="shared" si="10"/>
        <v>10941</v>
      </c>
      <c r="G56" s="25">
        <f t="shared" si="11"/>
        <v>10843.2</v>
      </c>
    </row>
    <row r="57" spans="1:7" ht="15" customHeight="1" x14ac:dyDescent="0.3">
      <c r="A57" s="29" t="s">
        <v>70</v>
      </c>
      <c r="B57" s="20">
        <v>3865.6</v>
      </c>
      <c r="C57" s="20">
        <v>3581.8</v>
      </c>
      <c r="D57" s="21">
        <f t="shared" si="8"/>
        <v>-7.3416804635761515E-2</v>
      </c>
      <c r="E57" s="39">
        <f t="shared" si="9"/>
        <v>3</v>
      </c>
      <c r="F57" s="20">
        <f t="shared" si="10"/>
        <v>11596.8</v>
      </c>
      <c r="G57" s="20">
        <f t="shared" si="11"/>
        <v>10745.400000000001</v>
      </c>
    </row>
    <row r="58" spans="1:7" ht="15" customHeight="1" x14ac:dyDescent="0.3">
      <c r="A58" s="31" t="s">
        <v>71</v>
      </c>
      <c r="B58" s="25">
        <v>4794.3</v>
      </c>
      <c r="C58" s="25">
        <v>4909.8999999999996</v>
      </c>
      <c r="D58" s="26">
        <f t="shared" si="8"/>
        <v>2.411196629330652E-2</v>
      </c>
      <c r="E58" s="40">
        <f t="shared" si="9"/>
        <v>2</v>
      </c>
      <c r="F58" s="25">
        <f t="shared" si="10"/>
        <v>9588.6</v>
      </c>
      <c r="G58" s="25">
        <f t="shared" si="11"/>
        <v>9819.7999999999993</v>
      </c>
    </row>
    <row r="59" spans="1:7" ht="15" customHeight="1" x14ac:dyDescent="0.3">
      <c r="A59" s="29" t="s">
        <v>72</v>
      </c>
      <c r="B59" s="20">
        <v>4944</v>
      </c>
      <c r="C59" s="20">
        <v>4387.3999999999996</v>
      </c>
      <c r="D59" s="21">
        <f t="shared" si="8"/>
        <v>-0.11258090614886739</v>
      </c>
      <c r="E59" s="39">
        <f t="shared" si="9"/>
        <v>2</v>
      </c>
      <c r="F59" s="20">
        <f t="shared" si="10"/>
        <v>9888</v>
      </c>
      <c r="G59" s="20">
        <f t="shared" si="11"/>
        <v>8774.7999999999993</v>
      </c>
    </row>
    <row r="60" spans="1:7" ht="15" customHeight="1" x14ac:dyDescent="0.3">
      <c r="A60" s="31" t="s">
        <v>73</v>
      </c>
      <c r="B60" s="25">
        <v>5659.5</v>
      </c>
      <c r="C60" s="25">
        <v>5448</v>
      </c>
      <c r="D60" s="26">
        <f t="shared" si="8"/>
        <v>-3.7370792472833286E-2</v>
      </c>
      <c r="E60" s="40">
        <f t="shared" si="9"/>
        <v>2</v>
      </c>
      <c r="F60" s="25">
        <f t="shared" si="10"/>
        <v>11319</v>
      </c>
      <c r="G60" s="25">
        <f t="shared" si="11"/>
        <v>10896</v>
      </c>
    </row>
    <row r="61" spans="1:7" ht="15" customHeight="1" x14ac:dyDescent="0.3">
      <c r="A61" s="29" t="s">
        <v>74</v>
      </c>
      <c r="B61" s="20">
        <v>9961</v>
      </c>
      <c r="C61" s="20">
        <v>8862</v>
      </c>
      <c r="D61" s="21">
        <f t="shared" si="8"/>
        <v>-0.11033028812368235</v>
      </c>
      <c r="E61" s="39">
        <f t="shared" si="9"/>
        <v>1</v>
      </c>
      <c r="F61" s="20">
        <f t="shared" si="10"/>
        <v>9961</v>
      </c>
      <c r="G61" s="20">
        <f t="shared" si="11"/>
        <v>8862</v>
      </c>
    </row>
    <row r="62" spans="1:7" ht="15" customHeight="1" x14ac:dyDescent="0.3">
      <c r="A62" s="41" t="s">
        <v>75</v>
      </c>
      <c r="B62" s="42"/>
      <c r="C62" s="42"/>
      <c r="D62" s="42"/>
      <c r="E62" s="42"/>
      <c r="F62" s="43">
        <f>SUM(F51:F61)</f>
        <v>114341.55</v>
      </c>
      <c r="G62" s="43">
        <f>SUM(G51:G61)</f>
        <v>111534.05000000002</v>
      </c>
    </row>
    <row r="64" spans="1:7" ht="18" customHeight="1" x14ac:dyDescent="0.3">
      <c r="A64" s="10" t="s">
        <v>85</v>
      </c>
      <c r="B64" s="10"/>
      <c r="C64" s="10"/>
      <c r="D64" s="10"/>
      <c r="E64" s="10"/>
      <c r="F64" s="10"/>
      <c r="G64" s="10"/>
    </row>
    <row r="65" spans="1:7" ht="15" customHeight="1" x14ac:dyDescent="0.3">
      <c r="A65" s="9" t="s">
        <v>77</v>
      </c>
      <c r="B65" s="9"/>
      <c r="C65" s="9"/>
      <c r="D65" s="9"/>
      <c r="E65" s="9"/>
      <c r="F65" s="9"/>
      <c r="G65" s="9"/>
    </row>
    <row r="66" spans="1:7" ht="15.75" customHeight="1" x14ac:dyDescent="0.3">
      <c r="A66" s="36" t="s">
        <v>19</v>
      </c>
      <c r="B66" s="8" t="s">
        <v>52</v>
      </c>
      <c r="C66" s="8"/>
      <c r="D66" s="8" t="s">
        <v>53</v>
      </c>
      <c r="E66" s="8"/>
      <c r="F66" s="8" t="s">
        <v>86</v>
      </c>
      <c r="G66" s="8"/>
    </row>
    <row r="67" spans="1:7" ht="21.75" customHeight="1" x14ac:dyDescent="0.3">
      <c r="A67" s="37">
        <f>COUNT(B71:B81)</f>
        <v>11</v>
      </c>
      <c r="B67" s="7">
        <f>F82</f>
        <v>114341.55</v>
      </c>
      <c r="C67" s="7"/>
      <c r="D67" s="7">
        <f>G82</f>
        <v>110837.84999999999</v>
      </c>
      <c r="E67" s="7"/>
      <c r="F67" s="6">
        <f>(G82-F82)/F82</f>
        <v>-3.0642404270363761E-2</v>
      </c>
      <c r="G67" s="6"/>
    </row>
    <row r="69" spans="1:7" ht="18" customHeight="1" x14ac:dyDescent="0.3">
      <c r="A69" s="10" t="s">
        <v>87</v>
      </c>
      <c r="B69" s="10"/>
      <c r="C69" s="10"/>
      <c r="D69" s="10"/>
      <c r="E69" s="10"/>
      <c r="F69" s="10"/>
      <c r="G69" s="10"/>
    </row>
    <row r="70" spans="1:7" ht="15" customHeight="1" x14ac:dyDescent="0.3">
      <c r="A70" s="36" t="s">
        <v>58</v>
      </c>
      <c r="B70" s="36" t="s">
        <v>59</v>
      </c>
      <c r="C70" s="36" t="s">
        <v>88</v>
      </c>
      <c r="D70" s="36" t="s">
        <v>61</v>
      </c>
      <c r="E70" s="36" t="s">
        <v>62</v>
      </c>
      <c r="F70" s="36" t="s">
        <v>63</v>
      </c>
      <c r="G70" s="36" t="s">
        <v>53</v>
      </c>
    </row>
    <row r="71" spans="1:7" ht="15" customHeight="1" x14ac:dyDescent="0.3">
      <c r="A71" s="29" t="s">
        <v>64</v>
      </c>
      <c r="B71" s="20">
        <v>280.75</v>
      </c>
      <c r="C71" s="20">
        <v>264.64999999999998</v>
      </c>
      <c r="D71" s="21">
        <f t="shared" ref="D71:D81" si="12">(C71-B71)/B71</f>
        <v>-5.7346393588602038E-2</v>
      </c>
      <c r="E71" s="39">
        <f t="shared" ref="E71:E81" si="13">ROUND($B$21/B71,0)</f>
        <v>35</v>
      </c>
      <c r="F71" s="20">
        <f t="shared" ref="F71:F81" si="14">B71*E71</f>
        <v>9826.25</v>
      </c>
      <c r="G71" s="20">
        <f t="shared" ref="G71:G81" si="15">C71*E71</f>
        <v>9262.75</v>
      </c>
    </row>
    <row r="72" spans="1:7" ht="15" customHeight="1" x14ac:dyDescent="0.3">
      <c r="A72" s="31" t="s">
        <v>65</v>
      </c>
      <c r="B72" s="25">
        <v>1051</v>
      </c>
      <c r="C72" s="25">
        <v>1019.3</v>
      </c>
      <c r="D72" s="26">
        <f t="shared" si="12"/>
        <v>-3.0161750713606134E-2</v>
      </c>
      <c r="E72" s="40">
        <f t="shared" si="13"/>
        <v>9</v>
      </c>
      <c r="F72" s="25">
        <f t="shared" si="14"/>
        <v>9459</v>
      </c>
      <c r="G72" s="25">
        <f t="shared" si="15"/>
        <v>9173.6999999999989</v>
      </c>
    </row>
    <row r="73" spans="1:7" ht="15" customHeight="1" x14ac:dyDescent="0.3">
      <c r="A73" s="29" t="s">
        <v>66</v>
      </c>
      <c r="B73" s="20">
        <v>1173.95</v>
      </c>
      <c r="C73" s="20">
        <v>1349.6</v>
      </c>
      <c r="D73" s="21">
        <f t="shared" si="12"/>
        <v>0.14962306742195142</v>
      </c>
      <c r="E73" s="39">
        <f t="shared" si="13"/>
        <v>8</v>
      </c>
      <c r="F73" s="20">
        <f t="shared" si="14"/>
        <v>9391.6</v>
      </c>
      <c r="G73" s="20">
        <f t="shared" si="15"/>
        <v>10796.8</v>
      </c>
    </row>
    <row r="74" spans="1:7" ht="15" customHeight="1" x14ac:dyDescent="0.3">
      <c r="A74" s="31" t="s">
        <v>67</v>
      </c>
      <c r="B74" s="25">
        <v>2204.3000000000002</v>
      </c>
      <c r="C74" s="25">
        <v>2192</v>
      </c>
      <c r="D74" s="26">
        <f t="shared" si="12"/>
        <v>-5.5800027219526293E-3</v>
      </c>
      <c r="E74" s="40">
        <f t="shared" si="13"/>
        <v>5</v>
      </c>
      <c r="F74" s="25">
        <f t="shared" si="14"/>
        <v>11021.5</v>
      </c>
      <c r="G74" s="25">
        <f t="shared" si="15"/>
        <v>10960</v>
      </c>
    </row>
    <row r="75" spans="1:7" ht="15" customHeight="1" x14ac:dyDescent="0.3">
      <c r="A75" s="29" t="s">
        <v>68</v>
      </c>
      <c r="B75" s="20">
        <v>2837.2</v>
      </c>
      <c r="C75" s="20">
        <v>2730</v>
      </c>
      <c r="D75" s="21">
        <f t="shared" si="12"/>
        <v>-3.7783730438460394E-2</v>
      </c>
      <c r="E75" s="39">
        <f t="shared" si="13"/>
        <v>4</v>
      </c>
      <c r="F75" s="20">
        <f t="shared" si="14"/>
        <v>11348.8</v>
      </c>
      <c r="G75" s="20">
        <f t="shared" si="15"/>
        <v>10920</v>
      </c>
    </row>
    <row r="76" spans="1:7" ht="15" customHeight="1" x14ac:dyDescent="0.3">
      <c r="A76" s="31" t="s">
        <v>69</v>
      </c>
      <c r="B76" s="25">
        <v>3647</v>
      </c>
      <c r="C76" s="25">
        <v>3543.4</v>
      </c>
      <c r="D76" s="26">
        <f t="shared" si="12"/>
        <v>-2.8406909788867538E-2</v>
      </c>
      <c r="E76" s="40">
        <f t="shared" si="13"/>
        <v>3</v>
      </c>
      <c r="F76" s="25">
        <f t="shared" si="14"/>
        <v>10941</v>
      </c>
      <c r="G76" s="25">
        <f t="shared" si="15"/>
        <v>10630.2</v>
      </c>
    </row>
    <row r="77" spans="1:7" ht="15" customHeight="1" x14ac:dyDescent="0.3">
      <c r="A77" s="29" t="s">
        <v>70</v>
      </c>
      <c r="B77" s="20">
        <v>3865.6</v>
      </c>
      <c r="C77" s="20">
        <v>3549.7</v>
      </c>
      <c r="D77" s="21">
        <f t="shared" si="12"/>
        <v>-8.1720819536423864E-2</v>
      </c>
      <c r="E77" s="39">
        <f t="shared" si="13"/>
        <v>3</v>
      </c>
      <c r="F77" s="20">
        <f t="shared" si="14"/>
        <v>11596.8</v>
      </c>
      <c r="G77" s="20">
        <f t="shared" si="15"/>
        <v>10649.099999999999</v>
      </c>
    </row>
    <row r="78" spans="1:7" ht="15" customHeight="1" x14ac:dyDescent="0.3">
      <c r="A78" s="31" t="s">
        <v>71</v>
      </c>
      <c r="B78" s="25">
        <v>4794.3</v>
      </c>
      <c r="C78" s="25">
        <v>5011</v>
      </c>
      <c r="D78" s="26">
        <f t="shared" si="12"/>
        <v>4.5199507748784978E-2</v>
      </c>
      <c r="E78" s="40">
        <f t="shared" si="13"/>
        <v>2</v>
      </c>
      <c r="F78" s="25">
        <f t="shared" si="14"/>
        <v>9588.6</v>
      </c>
      <c r="G78" s="25">
        <f t="shared" si="15"/>
        <v>10022</v>
      </c>
    </row>
    <row r="79" spans="1:7" ht="15" customHeight="1" x14ac:dyDescent="0.3">
      <c r="A79" s="29" t="s">
        <v>72</v>
      </c>
      <c r="B79" s="20">
        <v>4944</v>
      </c>
      <c r="C79" s="20">
        <v>4157.3999999999996</v>
      </c>
      <c r="D79" s="21">
        <f t="shared" si="12"/>
        <v>-0.15910194174757289</v>
      </c>
      <c r="E79" s="39">
        <f t="shared" si="13"/>
        <v>2</v>
      </c>
      <c r="F79" s="20">
        <f t="shared" si="14"/>
        <v>9888</v>
      </c>
      <c r="G79" s="20">
        <f t="shared" si="15"/>
        <v>8314.7999999999993</v>
      </c>
    </row>
    <row r="80" spans="1:7" ht="15" customHeight="1" x14ac:dyDescent="0.3">
      <c r="A80" s="31" t="s">
        <v>73</v>
      </c>
      <c r="B80" s="25">
        <v>5659.5</v>
      </c>
      <c r="C80" s="25">
        <v>5600.5</v>
      </c>
      <c r="D80" s="26">
        <f t="shared" si="12"/>
        <v>-1.0424949200459405E-2</v>
      </c>
      <c r="E80" s="40">
        <f t="shared" si="13"/>
        <v>2</v>
      </c>
      <c r="F80" s="25">
        <f t="shared" si="14"/>
        <v>11319</v>
      </c>
      <c r="G80" s="25">
        <f t="shared" si="15"/>
        <v>11201</v>
      </c>
    </row>
    <row r="81" spans="1:7" ht="15" customHeight="1" x14ac:dyDescent="0.3">
      <c r="A81" s="29" t="s">
        <v>74</v>
      </c>
      <c r="B81" s="20">
        <v>9961</v>
      </c>
      <c r="C81" s="20">
        <v>8907.5</v>
      </c>
      <c r="D81" s="21">
        <f t="shared" si="12"/>
        <v>-0.10576247364722417</v>
      </c>
      <c r="E81" s="39">
        <f t="shared" si="13"/>
        <v>1</v>
      </c>
      <c r="F81" s="20">
        <f t="shared" si="14"/>
        <v>9961</v>
      </c>
      <c r="G81" s="20">
        <f t="shared" si="15"/>
        <v>8907.5</v>
      </c>
    </row>
    <row r="82" spans="1:7" ht="15" customHeight="1" x14ac:dyDescent="0.3">
      <c r="A82" s="41" t="s">
        <v>75</v>
      </c>
      <c r="B82" s="42"/>
      <c r="C82" s="42"/>
      <c r="D82" s="42"/>
      <c r="E82" s="42"/>
      <c r="F82" s="43">
        <f>SUM(F71:F81)</f>
        <v>114341.55</v>
      </c>
      <c r="G82" s="43">
        <f>SUM(G71:G81)</f>
        <v>110837.84999999999</v>
      </c>
    </row>
    <row r="84" spans="1:7" ht="18" customHeight="1" x14ac:dyDescent="0.3">
      <c r="A84" s="10" t="s">
        <v>89</v>
      </c>
      <c r="B84" s="10"/>
      <c r="C84" s="10"/>
      <c r="D84" s="10"/>
      <c r="E84" s="10"/>
      <c r="F84" s="10"/>
      <c r="G84" s="10"/>
    </row>
    <row r="85" spans="1:7" ht="15" customHeight="1" x14ac:dyDescent="0.3">
      <c r="A85" s="9" t="s">
        <v>77</v>
      </c>
      <c r="B85" s="9"/>
      <c r="C85" s="9"/>
      <c r="D85" s="9"/>
      <c r="E85" s="9"/>
      <c r="F85" s="9"/>
      <c r="G85" s="9"/>
    </row>
    <row r="86" spans="1:7" ht="15.75" customHeight="1" x14ac:dyDescent="0.3">
      <c r="A86" s="36" t="s">
        <v>19</v>
      </c>
      <c r="B86" s="8" t="s">
        <v>52</v>
      </c>
      <c r="C86" s="8"/>
      <c r="D86" s="8" t="s">
        <v>53</v>
      </c>
      <c r="E86" s="8"/>
      <c r="F86" s="8" t="s">
        <v>90</v>
      </c>
      <c r="G86" s="8"/>
    </row>
    <row r="87" spans="1:7" ht="21.75" customHeight="1" x14ac:dyDescent="0.3">
      <c r="A87" s="37">
        <f>COUNT(B91:B101)</f>
        <v>11</v>
      </c>
      <c r="B87" s="7">
        <f>F102</f>
        <v>114341.55</v>
      </c>
      <c r="C87" s="7"/>
      <c r="D87" s="7">
        <f>G102</f>
        <v>111307.95000000001</v>
      </c>
      <c r="E87" s="7"/>
      <c r="F87" s="6">
        <f>(G102-F102)/F102</f>
        <v>-2.6531037929781353E-2</v>
      </c>
      <c r="G87" s="6"/>
    </row>
    <row r="89" spans="1:7" ht="18" customHeight="1" x14ac:dyDescent="0.3">
      <c r="A89" s="10" t="s">
        <v>91</v>
      </c>
      <c r="B89" s="10"/>
      <c r="C89" s="10"/>
      <c r="D89" s="10"/>
      <c r="E89" s="10"/>
      <c r="F89" s="10"/>
      <c r="G89" s="10"/>
    </row>
    <row r="90" spans="1:7" ht="15" customHeight="1" x14ac:dyDescent="0.3">
      <c r="A90" s="36" t="s">
        <v>58</v>
      </c>
      <c r="B90" s="36" t="s">
        <v>59</v>
      </c>
      <c r="C90" s="36" t="s">
        <v>92</v>
      </c>
      <c r="D90" s="36" t="s">
        <v>61</v>
      </c>
      <c r="E90" s="36" t="s">
        <v>62</v>
      </c>
      <c r="F90" s="36" t="s">
        <v>63</v>
      </c>
      <c r="G90" s="36" t="s">
        <v>53</v>
      </c>
    </row>
    <row r="91" spans="1:7" ht="15" customHeight="1" x14ac:dyDescent="0.3">
      <c r="A91" s="29" t="s">
        <v>64</v>
      </c>
      <c r="B91" s="20">
        <v>280.75</v>
      </c>
      <c r="C91" s="20">
        <v>264.25</v>
      </c>
      <c r="D91" s="21">
        <f t="shared" ref="D91:D101" si="16">(C91-B91)/B91</f>
        <v>-5.8771148708815675E-2</v>
      </c>
      <c r="E91" s="39">
        <f t="shared" ref="E91:E101" si="17">ROUND($B$21/B91,0)</f>
        <v>35</v>
      </c>
      <c r="F91" s="20">
        <f t="shared" ref="F91:F101" si="18">B91*E91</f>
        <v>9826.25</v>
      </c>
      <c r="G91" s="20">
        <f t="shared" ref="G91:G101" si="19">C91*E91</f>
        <v>9248.75</v>
      </c>
    </row>
    <row r="92" spans="1:7" ht="15" customHeight="1" x14ac:dyDescent="0.3">
      <c r="A92" s="31" t="s">
        <v>65</v>
      </c>
      <c r="B92" s="25">
        <v>1051</v>
      </c>
      <c r="C92" s="25">
        <v>1022.2</v>
      </c>
      <c r="D92" s="26">
        <f t="shared" si="16"/>
        <v>-2.7402473834443344E-2</v>
      </c>
      <c r="E92" s="40">
        <f t="shared" si="17"/>
        <v>9</v>
      </c>
      <c r="F92" s="25">
        <f t="shared" si="18"/>
        <v>9459</v>
      </c>
      <c r="G92" s="25">
        <f t="shared" si="19"/>
        <v>9199.8000000000011</v>
      </c>
    </row>
    <row r="93" spans="1:7" ht="15" customHeight="1" x14ac:dyDescent="0.3">
      <c r="A93" s="29" t="s">
        <v>66</v>
      </c>
      <c r="B93" s="20">
        <v>1173.95</v>
      </c>
      <c r="C93" s="20">
        <v>1280.8</v>
      </c>
      <c r="D93" s="21">
        <f t="shared" si="16"/>
        <v>9.1017505004472005E-2</v>
      </c>
      <c r="E93" s="39">
        <f t="shared" si="17"/>
        <v>8</v>
      </c>
      <c r="F93" s="20">
        <f t="shared" si="18"/>
        <v>9391.6</v>
      </c>
      <c r="G93" s="20">
        <f t="shared" si="19"/>
        <v>10246.4</v>
      </c>
    </row>
    <row r="94" spans="1:7" ht="15" customHeight="1" x14ac:dyDescent="0.3">
      <c r="A94" s="31" t="s">
        <v>67</v>
      </c>
      <c r="B94" s="25">
        <v>2204.3000000000002</v>
      </c>
      <c r="C94" s="25">
        <v>2233.9</v>
      </c>
      <c r="D94" s="26">
        <f t="shared" si="16"/>
        <v>1.3428299233316657E-2</v>
      </c>
      <c r="E94" s="40">
        <f t="shared" si="17"/>
        <v>5</v>
      </c>
      <c r="F94" s="25">
        <f t="shared" si="18"/>
        <v>11021.5</v>
      </c>
      <c r="G94" s="25">
        <f t="shared" si="19"/>
        <v>11169.5</v>
      </c>
    </row>
    <row r="95" spans="1:7" ht="15" customHeight="1" x14ac:dyDescent="0.3">
      <c r="A95" s="29" t="s">
        <v>68</v>
      </c>
      <c r="B95" s="20">
        <v>2837.2</v>
      </c>
      <c r="C95" s="20">
        <v>2692.2</v>
      </c>
      <c r="D95" s="21">
        <f t="shared" si="16"/>
        <v>-5.1106724940081776E-2</v>
      </c>
      <c r="E95" s="39">
        <f t="shared" si="17"/>
        <v>4</v>
      </c>
      <c r="F95" s="20">
        <f t="shared" si="18"/>
        <v>11348.8</v>
      </c>
      <c r="G95" s="20">
        <f t="shared" si="19"/>
        <v>10768.8</v>
      </c>
    </row>
    <row r="96" spans="1:7" ht="15" customHeight="1" x14ac:dyDescent="0.3">
      <c r="A96" s="31" t="s">
        <v>69</v>
      </c>
      <c r="B96" s="25">
        <v>3647</v>
      </c>
      <c r="C96" s="25">
        <v>3391</v>
      </c>
      <c r="D96" s="26">
        <f t="shared" si="16"/>
        <v>-7.0194680559363856E-2</v>
      </c>
      <c r="E96" s="40">
        <f t="shared" si="17"/>
        <v>3</v>
      </c>
      <c r="F96" s="25">
        <f t="shared" si="18"/>
        <v>10941</v>
      </c>
      <c r="G96" s="25">
        <f t="shared" si="19"/>
        <v>10173</v>
      </c>
    </row>
    <row r="97" spans="1:7" ht="15" customHeight="1" x14ac:dyDescent="0.3">
      <c r="A97" s="29" t="s">
        <v>70</v>
      </c>
      <c r="B97" s="20">
        <v>3865.6</v>
      </c>
      <c r="C97" s="20">
        <v>3646.2</v>
      </c>
      <c r="D97" s="21">
        <f t="shared" si="16"/>
        <v>-5.6757036423841084E-2</v>
      </c>
      <c r="E97" s="39">
        <f t="shared" si="17"/>
        <v>3</v>
      </c>
      <c r="F97" s="20">
        <f t="shared" si="18"/>
        <v>11596.8</v>
      </c>
      <c r="G97" s="20">
        <f t="shared" si="19"/>
        <v>10938.599999999999</v>
      </c>
    </row>
    <row r="98" spans="1:7" ht="15" customHeight="1" x14ac:dyDescent="0.3">
      <c r="A98" s="31" t="s">
        <v>71</v>
      </c>
      <c r="B98" s="25">
        <v>4794.3</v>
      </c>
      <c r="C98" s="25">
        <v>5386</v>
      </c>
      <c r="D98" s="26">
        <f t="shared" si="16"/>
        <v>0.12341739148572259</v>
      </c>
      <c r="E98" s="40">
        <f t="shared" si="17"/>
        <v>2</v>
      </c>
      <c r="F98" s="25">
        <f t="shared" si="18"/>
        <v>9588.6</v>
      </c>
      <c r="G98" s="25">
        <f t="shared" si="19"/>
        <v>10772</v>
      </c>
    </row>
    <row r="99" spans="1:7" ht="15" customHeight="1" x14ac:dyDescent="0.3">
      <c r="A99" s="29" t="s">
        <v>72</v>
      </c>
      <c r="B99" s="20">
        <v>4944</v>
      </c>
      <c r="C99" s="20">
        <v>4323.3</v>
      </c>
      <c r="D99" s="21">
        <f t="shared" si="16"/>
        <v>-0.12554611650485434</v>
      </c>
      <c r="E99" s="39">
        <f t="shared" si="17"/>
        <v>2</v>
      </c>
      <c r="F99" s="20">
        <f t="shared" si="18"/>
        <v>9888</v>
      </c>
      <c r="G99" s="20">
        <f t="shared" si="19"/>
        <v>8646.6</v>
      </c>
    </row>
    <row r="100" spans="1:7" ht="15" customHeight="1" x14ac:dyDescent="0.3">
      <c r="A100" s="31" t="s">
        <v>73</v>
      </c>
      <c r="B100" s="25">
        <v>5659.5</v>
      </c>
      <c r="C100" s="25">
        <v>5519</v>
      </c>
      <c r="D100" s="26">
        <f t="shared" si="16"/>
        <v>-2.4825514621432988E-2</v>
      </c>
      <c r="E100" s="40">
        <f t="shared" si="17"/>
        <v>2</v>
      </c>
      <c r="F100" s="25">
        <f t="shared" si="18"/>
        <v>11319</v>
      </c>
      <c r="G100" s="25">
        <f t="shared" si="19"/>
        <v>11038</v>
      </c>
    </row>
    <row r="101" spans="1:7" ht="15" customHeight="1" x14ac:dyDescent="0.3">
      <c r="A101" s="29" t="s">
        <v>74</v>
      </c>
      <c r="B101" s="20">
        <v>9961</v>
      </c>
      <c r="C101" s="20">
        <v>9106.5</v>
      </c>
      <c r="D101" s="21">
        <f t="shared" si="16"/>
        <v>-8.5784559783154302E-2</v>
      </c>
      <c r="E101" s="39">
        <f t="shared" si="17"/>
        <v>1</v>
      </c>
      <c r="F101" s="20">
        <f t="shared" si="18"/>
        <v>9961</v>
      </c>
      <c r="G101" s="20">
        <f t="shared" si="19"/>
        <v>9106.5</v>
      </c>
    </row>
    <row r="102" spans="1:7" ht="15" customHeight="1" x14ac:dyDescent="0.3">
      <c r="A102" s="41" t="s">
        <v>75</v>
      </c>
      <c r="B102" s="42"/>
      <c r="C102" s="42"/>
      <c r="D102" s="42"/>
      <c r="E102" s="42"/>
      <c r="F102" s="43">
        <f>SUM(F91:F101)</f>
        <v>114341.55</v>
      </c>
      <c r="G102" s="43">
        <f>SUM(G91:G101)</f>
        <v>111307.95000000001</v>
      </c>
    </row>
    <row r="104" spans="1:7" ht="39.75" customHeight="1" x14ac:dyDescent="0.3">
      <c r="A104" s="5" t="s">
        <v>93</v>
      </c>
      <c r="B104" s="5"/>
      <c r="C104" s="5"/>
      <c r="D104" s="5"/>
      <c r="E104" s="5"/>
      <c r="F104" s="5"/>
      <c r="G104" s="5"/>
    </row>
  </sheetData>
  <mergeCells count="48">
    <mergeCell ref="B87:C87"/>
    <mergeCell ref="D87:E87"/>
    <mergeCell ref="F87:G87"/>
    <mergeCell ref="A89:G89"/>
    <mergeCell ref="A104:G104"/>
    <mergeCell ref="A69:G69"/>
    <mergeCell ref="A84:G84"/>
    <mergeCell ref="A85:G85"/>
    <mergeCell ref="B86:C86"/>
    <mergeCell ref="D86:E86"/>
    <mergeCell ref="F86:G86"/>
    <mergeCell ref="A65:G65"/>
    <mergeCell ref="B66:C66"/>
    <mergeCell ref="D66:E66"/>
    <mergeCell ref="F66:G66"/>
    <mergeCell ref="B67:C67"/>
    <mergeCell ref="D67:E67"/>
    <mergeCell ref="F67:G67"/>
    <mergeCell ref="B47:C47"/>
    <mergeCell ref="D47:E47"/>
    <mergeCell ref="F47:G47"/>
    <mergeCell ref="A49:G49"/>
    <mergeCell ref="A64:G64"/>
    <mergeCell ref="A29:G29"/>
    <mergeCell ref="A44:G44"/>
    <mergeCell ref="A45:G45"/>
    <mergeCell ref="B46:C46"/>
    <mergeCell ref="D46:E46"/>
    <mergeCell ref="F46:G46"/>
    <mergeCell ref="A25:G25"/>
    <mergeCell ref="B26:C26"/>
    <mergeCell ref="D26:E26"/>
    <mergeCell ref="F26:G26"/>
    <mergeCell ref="B27:C27"/>
    <mergeCell ref="D27:E27"/>
    <mergeCell ref="F27:G27"/>
    <mergeCell ref="B7:C7"/>
    <mergeCell ref="D7:E7"/>
    <mergeCell ref="F7:G7"/>
    <mergeCell ref="A9:G9"/>
    <mergeCell ref="A24:G24"/>
    <mergeCell ref="A1:G1"/>
    <mergeCell ref="A2:G2"/>
    <mergeCell ref="A4:G4"/>
    <mergeCell ref="A5:G5"/>
    <mergeCell ref="B6:C6"/>
    <mergeCell ref="D6:E6"/>
    <mergeCell ref="F6:G6"/>
  </mergeCells>
  <conditionalFormatting sqref="F7">
    <cfRule type="cellIs" dxfId="69" priority="2" operator="greaterThanOrEqual">
      <formula>0</formula>
    </cfRule>
    <cfRule type="cellIs" dxfId="68" priority="3" operator="lessThan">
      <formula>0</formula>
    </cfRule>
  </conditionalFormatting>
  <conditionalFormatting sqref="F27">
    <cfRule type="cellIs" dxfId="67" priority="4" operator="greaterThanOrEqual">
      <formula>0</formula>
    </cfRule>
    <cfRule type="cellIs" dxfId="66" priority="5" operator="lessThan">
      <formula>0</formula>
    </cfRule>
  </conditionalFormatting>
  <conditionalFormatting sqref="F47">
    <cfRule type="cellIs" dxfId="65" priority="6" operator="greaterThanOrEqual">
      <formula>0</formula>
    </cfRule>
    <cfRule type="cellIs" dxfId="64" priority="7" operator="lessThan">
      <formula>0</formula>
    </cfRule>
  </conditionalFormatting>
  <conditionalFormatting sqref="F67">
    <cfRule type="cellIs" dxfId="63" priority="8" operator="greaterThanOrEqual">
      <formula>0</formula>
    </cfRule>
    <cfRule type="cellIs" dxfId="62" priority="9" operator="lessThan">
      <formula>0</formula>
    </cfRule>
  </conditionalFormatting>
  <conditionalFormatting sqref="F87">
    <cfRule type="cellIs" dxfId="61" priority="10" operator="greaterThanOrEqual">
      <formula>0</formula>
    </cfRule>
    <cfRule type="cellIs" dxfId="6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"/>
  <sheetViews>
    <sheetView showGridLines="0" zoomScaleNormal="100" workbookViewId="0">
      <pane ySplit="3" topLeftCell="A4" activePane="bottomLeft" state="frozen"/>
      <selection pane="bottomLeft" activeCell="E19" sqref="E19"/>
    </sheetView>
  </sheetViews>
  <sheetFormatPr defaultColWidth="8.6640625" defaultRowHeight="14.4" x14ac:dyDescent="0.3"/>
  <cols>
    <col min="1" max="1" width="34" customWidth="1"/>
    <col min="2" max="3" width="15" customWidth="1"/>
    <col min="4" max="4" width="11" customWidth="1"/>
    <col min="5" max="5" width="12" customWidth="1"/>
    <col min="6" max="7" width="16" customWidth="1"/>
    <col min="9" max="9" width="40" customWidth="1"/>
  </cols>
  <sheetData>
    <row r="1" spans="1:9" ht="25.5" customHeight="1" x14ac:dyDescent="0.3">
      <c r="A1" s="12" t="s">
        <v>94</v>
      </c>
      <c r="B1" s="12"/>
      <c r="C1" s="12"/>
      <c r="D1" s="12"/>
      <c r="E1" s="12"/>
      <c r="F1" s="12"/>
      <c r="G1" s="12"/>
    </row>
    <row r="2" spans="1:9" ht="15.75" customHeight="1" x14ac:dyDescent="0.3">
      <c r="A2" s="11" t="s">
        <v>188</v>
      </c>
      <c r="B2" s="11"/>
      <c r="C2" s="11"/>
      <c r="D2" s="11"/>
      <c r="E2" s="11"/>
      <c r="F2" s="11"/>
      <c r="G2" s="11"/>
    </row>
    <row r="4" spans="1:9" ht="18" customHeight="1" x14ac:dyDescent="0.3">
      <c r="A4" s="10" t="s">
        <v>48</v>
      </c>
      <c r="B4" s="10"/>
      <c r="C4" s="10"/>
      <c r="D4" s="10"/>
      <c r="E4" s="10"/>
      <c r="F4" s="10"/>
      <c r="G4" s="10"/>
      <c r="I4" s="33" t="s">
        <v>49</v>
      </c>
    </row>
    <row r="5" spans="1:9" ht="15" customHeight="1" x14ac:dyDescent="0.3">
      <c r="A5" s="9" t="s">
        <v>77</v>
      </c>
      <c r="B5" s="9"/>
      <c r="C5" s="9"/>
      <c r="D5" s="9"/>
      <c r="E5" s="9"/>
      <c r="F5" s="9"/>
      <c r="G5" s="9"/>
      <c r="I5" s="34" t="s">
        <v>95</v>
      </c>
    </row>
    <row r="6" spans="1:9" ht="15.75" customHeight="1" x14ac:dyDescent="0.3">
      <c r="A6" s="36" t="s">
        <v>19</v>
      </c>
      <c r="B6" s="8" t="s">
        <v>52</v>
      </c>
      <c r="C6" s="8"/>
      <c r="D6" s="8" t="s">
        <v>53</v>
      </c>
      <c r="E6" s="8"/>
      <c r="F6" s="8" t="s">
        <v>54</v>
      </c>
      <c r="G6" s="8"/>
      <c r="I6" s="34" t="s">
        <v>96</v>
      </c>
    </row>
    <row r="7" spans="1:9" ht="21.75" customHeight="1" x14ac:dyDescent="0.3">
      <c r="A7" s="37">
        <f>COUNT(B11:B22)</f>
        <v>12</v>
      </c>
      <c r="B7" s="7">
        <f>F23</f>
        <v>56331.880000000005</v>
      </c>
      <c r="C7" s="7"/>
      <c r="D7" s="7">
        <f>G23</f>
        <v>57544.240000000013</v>
      </c>
      <c r="E7" s="7"/>
      <c r="F7" s="6">
        <f>(G23-F23)/F23</f>
        <v>2.1521738667340903E-2</v>
      </c>
      <c r="G7" s="6"/>
      <c r="I7" s="34" t="s">
        <v>97</v>
      </c>
    </row>
    <row r="8" spans="1:9" ht="14.25" customHeight="1" x14ac:dyDescent="0.3">
      <c r="I8" s="34" t="s">
        <v>51</v>
      </c>
    </row>
    <row r="9" spans="1:9" ht="18" customHeight="1" x14ac:dyDescent="0.3">
      <c r="A9" s="10" t="s">
        <v>57</v>
      </c>
      <c r="B9" s="10"/>
      <c r="C9" s="10"/>
      <c r="D9" s="10"/>
      <c r="E9" s="10"/>
      <c r="F9" s="10"/>
      <c r="G9" s="10"/>
      <c r="I9" s="34" t="s">
        <v>98</v>
      </c>
    </row>
    <row r="10" spans="1:9" ht="15" customHeight="1" x14ac:dyDescent="0.3">
      <c r="A10" s="36" t="s">
        <v>58</v>
      </c>
      <c r="B10" s="36" t="s">
        <v>59</v>
      </c>
      <c r="C10" s="36" t="s">
        <v>60</v>
      </c>
      <c r="D10" s="36" t="s">
        <v>61</v>
      </c>
      <c r="E10" s="36" t="s">
        <v>62</v>
      </c>
      <c r="F10" s="36" t="s">
        <v>63</v>
      </c>
      <c r="G10" s="36" t="s">
        <v>53</v>
      </c>
      <c r="I10" s="34" t="s">
        <v>99</v>
      </c>
    </row>
    <row r="11" spans="1:9" ht="15" customHeight="1" x14ac:dyDescent="0.3">
      <c r="A11" s="29" t="s">
        <v>100</v>
      </c>
      <c r="B11" s="20">
        <v>85.16</v>
      </c>
      <c r="C11" s="20">
        <v>85.4</v>
      </c>
      <c r="D11" s="21">
        <f t="shared" ref="D11:D22" si="0">(C11-B11)/B11</f>
        <v>2.8182245185534183E-3</v>
      </c>
      <c r="E11" s="39">
        <f t="shared" ref="E11:E22" si="1">ROUND($B$22/B11,0)</f>
        <v>56</v>
      </c>
      <c r="F11" s="20">
        <f t="shared" ref="F11:F22" si="2">B11*E11</f>
        <v>4768.96</v>
      </c>
      <c r="G11" s="20">
        <f t="shared" ref="G11:G22" si="3">C11*E11</f>
        <v>4782.4000000000005</v>
      </c>
      <c r="I11" s="38" t="s">
        <v>101</v>
      </c>
    </row>
    <row r="12" spans="1:9" ht="15" customHeight="1" x14ac:dyDescent="0.3">
      <c r="A12" s="31" t="s">
        <v>102</v>
      </c>
      <c r="B12" s="25">
        <v>170.39</v>
      </c>
      <c r="C12" s="25">
        <v>176.08</v>
      </c>
      <c r="D12" s="26">
        <f t="shared" si="0"/>
        <v>3.3393978519866342E-2</v>
      </c>
      <c r="E12" s="40">
        <f t="shared" si="1"/>
        <v>28</v>
      </c>
      <c r="F12" s="25">
        <f t="shared" si="2"/>
        <v>4770.92</v>
      </c>
      <c r="G12" s="25">
        <f t="shared" si="3"/>
        <v>4930.2400000000007</v>
      </c>
      <c r="I12" s="35"/>
    </row>
    <row r="13" spans="1:9" ht="15" customHeight="1" x14ac:dyDescent="0.3">
      <c r="A13" s="29" t="s">
        <v>103</v>
      </c>
      <c r="B13" s="20">
        <v>280.8</v>
      </c>
      <c r="C13" s="20">
        <v>275.95</v>
      </c>
      <c r="D13" s="21">
        <f t="shared" si="0"/>
        <v>-1.7272079772079851E-2</v>
      </c>
      <c r="E13" s="39">
        <f t="shared" si="1"/>
        <v>17</v>
      </c>
      <c r="F13" s="20">
        <f t="shared" si="2"/>
        <v>4773.6000000000004</v>
      </c>
      <c r="G13" s="20">
        <f t="shared" si="3"/>
        <v>4691.1499999999996</v>
      </c>
      <c r="I13" s="35"/>
    </row>
    <row r="14" spans="1:9" ht="15" customHeight="1" x14ac:dyDescent="0.3">
      <c r="A14" s="31" t="s">
        <v>104</v>
      </c>
      <c r="B14" s="25">
        <v>286.95</v>
      </c>
      <c r="C14" s="25">
        <v>289.95</v>
      </c>
      <c r="D14" s="26">
        <f t="shared" si="0"/>
        <v>1.0454783063251438E-2</v>
      </c>
      <c r="E14" s="40">
        <f t="shared" si="1"/>
        <v>17</v>
      </c>
      <c r="F14" s="25">
        <f t="shared" si="2"/>
        <v>4878.1499999999996</v>
      </c>
      <c r="G14" s="25">
        <f t="shared" si="3"/>
        <v>4929.1499999999996</v>
      </c>
    </row>
    <row r="15" spans="1:9" ht="15" customHeight="1" x14ac:dyDescent="0.3">
      <c r="A15" s="29" t="s">
        <v>105</v>
      </c>
      <c r="B15" s="20">
        <v>339.6</v>
      </c>
      <c r="C15" s="20">
        <v>347.6</v>
      </c>
      <c r="D15" s="21">
        <f t="shared" si="0"/>
        <v>2.3557126030624261E-2</v>
      </c>
      <c r="E15" s="39">
        <f t="shared" si="1"/>
        <v>14</v>
      </c>
      <c r="F15" s="20">
        <f t="shared" si="2"/>
        <v>4754.4000000000005</v>
      </c>
      <c r="G15" s="20">
        <f t="shared" si="3"/>
        <v>4866.4000000000005</v>
      </c>
    </row>
    <row r="16" spans="1:9" ht="15" customHeight="1" x14ac:dyDescent="0.3">
      <c r="A16" s="31" t="s">
        <v>106</v>
      </c>
      <c r="B16" s="25">
        <v>439.05</v>
      </c>
      <c r="C16" s="25">
        <v>438.7</v>
      </c>
      <c r="D16" s="26">
        <f t="shared" si="0"/>
        <v>-7.9717572030525621E-4</v>
      </c>
      <c r="E16" s="40">
        <f t="shared" si="1"/>
        <v>11</v>
      </c>
      <c r="F16" s="25">
        <f t="shared" si="2"/>
        <v>4829.55</v>
      </c>
      <c r="G16" s="25">
        <f t="shared" si="3"/>
        <v>4825.7</v>
      </c>
    </row>
    <row r="17" spans="1:7" ht="15" customHeight="1" x14ac:dyDescent="0.3">
      <c r="A17" s="29" t="s">
        <v>107</v>
      </c>
      <c r="B17" s="20">
        <v>1000.4</v>
      </c>
      <c r="C17" s="20">
        <v>1047.2</v>
      </c>
      <c r="D17" s="21">
        <f t="shared" si="0"/>
        <v>4.6781287485006068E-2</v>
      </c>
      <c r="E17" s="39">
        <f t="shared" si="1"/>
        <v>5</v>
      </c>
      <c r="F17" s="20">
        <f t="shared" si="2"/>
        <v>5002</v>
      </c>
      <c r="G17" s="20">
        <f t="shared" si="3"/>
        <v>5236</v>
      </c>
    </row>
    <row r="18" spans="1:7" ht="15" customHeight="1" x14ac:dyDescent="0.3">
      <c r="A18" s="31" t="s">
        <v>108</v>
      </c>
      <c r="B18" s="25">
        <v>1071.8</v>
      </c>
      <c r="C18" s="25">
        <v>1139</v>
      </c>
      <c r="D18" s="26">
        <f t="shared" si="0"/>
        <v>6.2698264601604825E-2</v>
      </c>
      <c r="E18" s="40">
        <f t="shared" si="1"/>
        <v>4</v>
      </c>
      <c r="F18" s="25">
        <f t="shared" si="2"/>
        <v>4287.2</v>
      </c>
      <c r="G18" s="25">
        <f t="shared" si="3"/>
        <v>4556</v>
      </c>
    </row>
    <row r="19" spans="1:7" ht="15" customHeight="1" x14ac:dyDescent="0.3">
      <c r="A19" s="29" t="s">
        <v>109</v>
      </c>
      <c r="B19" s="20">
        <v>2031.5</v>
      </c>
      <c r="C19" s="20">
        <v>2093.5</v>
      </c>
      <c r="D19" s="21">
        <f t="shared" si="0"/>
        <v>3.0519320698990892E-2</v>
      </c>
      <c r="E19" s="39">
        <f t="shared" si="1"/>
        <v>2</v>
      </c>
      <c r="F19" s="20">
        <f t="shared" si="2"/>
        <v>4063</v>
      </c>
      <c r="G19" s="20">
        <f t="shared" si="3"/>
        <v>4187</v>
      </c>
    </row>
    <row r="20" spans="1:7" ht="15" customHeight="1" x14ac:dyDescent="0.3">
      <c r="A20" s="31" t="s">
        <v>110</v>
      </c>
      <c r="B20" s="25">
        <v>2935.9</v>
      </c>
      <c r="C20" s="25">
        <v>2964.9</v>
      </c>
      <c r="D20" s="26">
        <f t="shared" si="0"/>
        <v>9.877720630811675E-3</v>
      </c>
      <c r="E20" s="40">
        <f t="shared" si="1"/>
        <v>2</v>
      </c>
      <c r="F20" s="25">
        <f t="shared" si="2"/>
        <v>5871.8</v>
      </c>
      <c r="G20" s="25">
        <f t="shared" si="3"/>
        <v>5929.8</v>
      </c>
    </row>
    <row r="21" spans="1:7" ht="15" customHeight="1" x14ac:dyDescent="0.3">
      <c r="A21" s="29" t="s">
        <v>111</v>
      </c>
      <c r="B21" s="20">
        <v>3538</v>
      </c>
      <c r="C21" s="20">
        <v>3757.8</v>
      </c>
      <c r="D21" s="21">
        <f t="shared" si="0"/>
        <v>6.2125494629734365E-2</v>
      </c>
      <c r="E21" s="39">
        <f t="shared" si="1"/>
        <v>1</v>
      </c>
      <c r="F21" s="20">
        <f t="shared" si="2"/>
        <v>3538</v>
      </c>
      <c r="G21" s="20">
        <f t="shared" si="3"/>
        <v>3757.8</v>
      </c>
    </row>
    <row r="22" spans="1:7" ht="15" customHeight="1" x14ac:dyDescent="0.3">
      <c r="A22" s="31" t="s">
        <v>71</v>
      </c>
      <c r="B22" s="25">
        <v>4794.3</v>
      </c>
      <c r="C22" s="25">
        <v>4852.6000000000004</v>
      </c>
      <c r="D22" s="26">
        <f t="shared" si="0"/>
        <v>1.2160273658302604E-2</v>
      </c>
      <c r="E22" s="40">
        <f t="shared" si="1"/>
        <v>1</v>
      </c>
      <c r="F22" s="25">
        <f t="shared" si="2"/>
        <v>4794.3</v>
      </c>
      <c r="G22" s="25">
        <f t="shared" si="3"/>
        <v>4852.6000000000004</v>
      </c>
    </row>
    <row r="23" spans="1:7" ht="15" customHeight="1" x14ac:dyDescent="0.3">
      <c r="A23" s="41" t="s">
        <v>75</v>
      </c>
      <c r="B23" s="42"/>
      <c r="C23" s="42"/>
      <c r="D23" s="42"/>
      <c r="E23" s="42"/>
      <c r="F23" s="43">
        <f>SUM(F11:F22)</f>
        <v>56331.880000000005</v>
      </c>
      <c r="G23" s="43">
        <f>SUM(G11:G22)</f>
        <v>57544.240000000013</v>
      </c>
    </row>
    <row r="25" spans="1:7" ht="18" customHeight="1" x14ac:dyDescent="0.3">
      <c r="A25" s="10" t="s">
        <v>76</v>
      </c>
      <c r="B25" s="10"/>
      <c r="C25" s="10"/>
      <c r="D25" s="10"/>
      <c r="E25" s="10"/>
      <c r="F25" s="10"/>
      <c r="G25" s="10"/>
    </row>
    <row r="26" spans="1:7" ht="15" customHeight="1" x14ac:dyDescent="0.3">
      <c r="A26" s="9" t="s">
        <v>77</v>
      </c>
      <c r="B26" s="9"/>
      <c r="C26" s="9"/>
      <c r="D26" s="9"/>
      <c r="E26" s="9"/>
      <c r="F26" s="9"/>
      <c r="G26" s="9"/>
    </row>
    <row r="27" spans="1:7" ht="15.75" customHeight="1" x14ac:dyDescent="0.3">
      <c r="A27" s="36" t="s">
        <v>19</v>
      </c>
      <c r="B27" s="8" t="s">
        <v>52</v>
      </c>
      <c r="C27" s="8"/>
      <c r="D27" s="8" t="s">
        <v>53</v>
      </c>
      <c r="E27" s="8"/>
      <c r="F27" s="8" t="s">
        <v>78</v>
      </c>
      <c r="G27" s="8"/>
    </row>
    <row r="28" spans="1:7" ht="21.75" customHeight="1" x14ac:dyDescent="0.3">
      <c r="A28" s="37">
        <f>COUNT(B32:B43)</f>
        <v>12</v>
      </c>
      <c r="B28" s="7">
        <f>F44</f>
        <v>56331.880000000005</v>
      </c>
      <c r="C28" s="7"/>
      <c r="D28" s="7">
        <f>G44</f>
        <v>58119.799999999996</v>
      </c>
      <c r="E28" s="7"/>
      <c r="F28" s="6">
        <f>(G44-F44)/F44</f>
        <v>3.1739043681836838E-2</v>
      </c>
      <c r="G28" s="6"/>
    </row>
    <row r="30" spans="1:7" ht="18" customHeight="1" x14ac:dyDescent="0.3">
      <c r="A30" s="10" t="s">
        <v>79</v>
      </c>
      <c r="B30" s="10"/>
      <c r="C30" s="10"/>
      <c r="D30" s="10"/>
      <c r="E30" s="10"/>
      <c r="F30" s="10"/>
      <c r="G30" s="10"/>
    </row>
    <row r="31" spans="1:7" ht="15" customHeight="1" x14ac:dyDescent="0.3">
      <c r="A31" s="36" t="s">
        <v>58</v>
      </c>
      <c r="B31" s="36" t="s">
        <v>59</v>
      </c>
      <c r="C31" s="36" t="s">
        <v>80</v>
      </c>
      <c r="D31" s="36" t="s">
        <v>61</v>
      </c>
      <c r="E31" s="36" t="s">
        <v>62</v>
      </c>
      <c r="F31" s="36" t="s">
        <v>63</v>
      </c>
      <c r="G31" s="36" t="s">
        <v>53</v>
      </c>
    </row>
    <row r="32" spans="1:7" ht="15" customHeight="1" x14ac:dyDescent="0.3">
      <c r="A32" s="29" t="s">
        <v>100</v>
      </c>
      <c r="B32" s="20">
        <v>85.16</v>
      </c>
      <c r="C32" s="20">
        <v>84.92</v>
      </c>
      <c r="D32" s="21">
        <f t="shared" ref="D32:D43" si="4">(C32-B32)/B32</f>
        <v>-2.8182245185532514E-3</v>
      </c>
      <c r="E32" s="39">
        <f t="shared" ref="E32:E43" si="5">ROUND($B$22/B32,0)</f>
        <v>56</v>
      </c>
      <c r="F32" s="20">
        <f t="shared" ref="F32:F43" si="6">B32*E32</f>
        <v>4768.96</v>
      </c>
      <c r="G32" s="20">
        <f t="shared" ref="G32:G43" si="7">C32*E32</f>
        <v>4755.5200000000004</v>
      </c>
    </row>
    <row r="33" spans="1:7" ht="15" customHeight="1" x14ac:dyDescent="0.3">
      <c r="A33" s="31" t="s">
        <v>102</v>
      </c>
      <c r="B33" s="25">
        <v>170.39</v>
      </c>
      <c r="C33" s="25">
        <v>175.46</v>
      </c>
      <c r="D33" s="26">
        <f t="shared" si="4"/>
        <v>2.975526732789496E-2</v>
      </c>
      <c r="E33" s="40">
        <f t="shared" si="5"/>
        <v>28</v>
      </c>
      <c r="F33" s="25">
        <f t="shared" si="6"/>
        <v>4770.92</v>
      </c>
      <c r="G33" s="25">
        <f t="shared" si="7"/>
        <v>4912.88</v>
      </c>
    </row>
    <row r="34" spans="1:7" ht="15" customHeight="1" x14ac:dyDescent="0.3">
      <c r="A34" s="29" t="s">
        <v>103</v>
      </c>
      <c r="B34" s="20">
        <v>280.8</v>
      </c>
      <c r="C34" s="20">
        <v>278.95</v>
      </c>
      <c r="D34" s="21">
        <f t="shared" si="4"/>
        <v>-6.5883190883191693E-3</v>
      </c>
      <c r="E34" s="39">
        <f t="shared" si="5"/>
        <v>17</v>
      </c>
      <c r="F34" s="20">
        <f t="shared" si="6"/>
        <v>4773.6000000000004</v>
      </c>
      <c r="G34" s="20">
        <f t="shared" si="7"/>
        <v>4742.1499999999996</v>
      </c>
    </row>
    <row r="35" spans="1:7" ht="15" customHeight="1" x14ac:dyDescent="0.3">
      <c r="A35" s="31" t="s">
        <v>104</v>
      </c>
      <c r="B35" s="25">
        <v>286.95</v>
      </c>
      <c r="C35" s="25">
        <v>281.75</v>
      </c>
      <c r="D35" s="26">
        <f t="shared" si="4"/>
        <v>-1.8121623976302452E-2</v>
      </c>
      <c r="E35" s="40">
        <f t="shared" si="5"/>
        <v>17</v>
      </c>
      <c r="F35" s="25">
        <f t="shared" si="6"/>
        <v>4878.1499999999996</v>
      </c>
      <c r="G35" s="25">
        <f t="shared" si="7"/>
        <v>4789.75</v>
      </c>
    </row>
    <row r="36" spans="1:7" ht="15" customHeight="1" x14ac:dyDescent="0.3">
      <c r="A36" s="29" t="s">
        <v>105</v>
      </c>
      <c r="B36" s="20">
        <v>339.6</v>
      </c>
      <c r="C36" s="20">
        <v>354.85</v>
      </c>
      <c r="D36" s="21">
        <f t="shared" si="4"/>
        <v>4.4905771495877503E-2</v>
      </c>
      <c r="E36" s="39">
        <f t="shared" si="5"/>
        <v>14</v>
      </c>
      <c r="F36" s="20">
        <f t="shared" si="6"/>
        <v>4754.4000000000005</v>
      </c>
      <c r="G36" s="20">
        <f t="shared" si="7"/>
        <v>4967.9000000000005</v>
      </c>
    </row>
    <row r="37" spans="1:7" ht="15" customHeight="1" x14ac:dyDescent="0.3">
      <c r="A37" s="31" t="s">
        <v>106</v>
      </c>
      <c r="B37" s="25">
        <v>439.05</v>
      </c>
      <c r="C37" s="25">
        <v>429.3</v>
      </c>
      <c r="D37" s="26">
        <f t="shared" si="4"/>
        <v>-2.2207037922787838E-2</v>
      </c>
      <c r="E37" s="40">
        <f t="shared" si="5"/>
        <v>11</v>
      </c>
      <c r="F37" s="25">
        <f t="shared" si="6"/>
        <v>4829.55</v>
      </c>
      <c r="G37" s="25">
        <f t="shared" si="7"/>
        <v>4722.3</v>
      </c>
    </row>
    <row r="38" spans="1:7" ht="15" customHeight="1" x14ac:dyDescent="0.3">
      <c r="A38" s="29" t="s">
        <v>107</v>
      </c>
      <c r="B38" s="20">
        <v>1000.4</v>
      </c>
      <c r="C38" s="20">
        <v>1068</v>
      </c>
      <c r="D38" s="21">
        <f t="shared" si="4"/>
        <v>6.7572970811675348E-2</v>
      </c>
      <c r="E38" s="39">
        <f t="shared" si="5"/>
        <v>5</v>
      </c>
      <c r="F38" s="20">
        <f t="shared" si="6"/>
        <v>5002</v>
      </c>
      <c r="G38" s="20">
        <f t="shared" si="7"/>
        <v>5340</v>
      </c>
    </row>
    <row r="39" spans="1:7" ht="15" customHeight="1" x14ac:dyDescent="0.3">
      <c r="A39" s="31" t="s">
        <v>108</v>
      </c>
      <c r="B39" s="25">
        <v>1071.8</v>
      </c>
      <c r="C39" s="25">
        <v>1164.0999999999999</v>
      </c>
      <c r="D39" s="26">
        <f t="shared" si="4"/>
        <v>8.6116812838216053E-2</v>
      </c>
      <c r="E39" s="40">
        <f t="shared" si="5"/>
        <v>4</v>
      </c>
      <c r="F39" s="25">
        <f t="shared" si="6"/>
        <v>4287.2</v>
      </c>
      <c r="G39" s="25">
        <f t="shared" si="7"/>
        <v>4656.3999999999996</v>
      </c>
    </row>
    <row r="40" spans="1:7" ht="15" customHeight="1" x14ac:dyDescent="0.3">
      <c r="A40" s="29" t="s">
        <v>109</v>
      </c>
      <c r="B40" s="20">
        <v>2031.5</v>
      </c>
      <c r="C40" s="20">
        <v>2181.5</v>
      </c>
      <c r="D40" s="21">
        <f t="shared" si="4"/>
        <v>7.3837066207236027E-2</v>
      </c>
      <c r="E40" s="39">
        <f t="shared" si="5"/>
        <v>2</v>
      </c>
      <c r="F40" s="20">
        <f t="shared" si="6"/>
        <v>4063</v>
      </c>
      <c r="G40" s="20">
        <f t="shared" si="7"/>
        <v>4363</v>
      </c>
    </row>
    <row r="41" spans="1:7" ht="15" customHeight="1" x14ac:dyDescent="0.3">
      <c r="A41" s="31" t="s">
        <v>110</v>
      </c>
      <c r="B41" s="25">
        <v>2935.9</v>
      </c>
      <c r="C41" s="25">
        <v>2941.8</v>
      </c>
      <c r="D41" s="26">
        <f t="shared" si="4"/>
        <v>2.0096052317858546E-3</v>
      </c>
      <c r="E41" s="40">
        <f t="shared" si="5"/>
        <v>2</v>
      </c>
      <c r="F41" s="25">
        <f t="shared" si="6"/>
        <v>5871.8</v>
      </c>
      <c r="G41" s="25">
        <f t="shared" si="7"/>
        <v>5883.6</v>
      </c>
    </row>
    <row r="42" spans="1:7" ht="15" customHeight="1" x14ac:dyDescent="0.3">
      <c r="A42" s="29" t="s">
        <v>111</v>
      </c>
      <c r="B42" s="20">
        <v>3538</v>
      </c>
      <c r="C42" s="20">
        <v>4037.2</v>
      </c>
      <c r="D42" s="21">
        <f t="shared" si="4"/>
        <v>0.14109666478236285</v>
      </c>
      <c r="E42" s="39">
        <f t="shared" si="5"/>
        <v>1</v>
      </c>
      <c r="F42" s="20">
        <f t="shared" si="6"/>
        <v>3538</v>
      </c>
      <c r="G42" s="20">
        <f t="shared" si="7"/>
        <v>4037.2</v>
      </c>
    </row>
    <row r="43" spans="1:7" ht="15" customHeight="1" x14ac:dyDescent="0.3">
      <c r="A43" s="31" t="s">
        <v>71</v>
      </c>
      <c r="B43" s="25">
        <v>4794.3</v>
      </c>
      <c r="C43" s="25">
        <v>4949.1000000000004</v>
      </c>
      <c r="D43" s="26">
        <f t="shared" si="4"/>
        <v>3.2288342406607884E-2</v>
      </c>
      <c r="E43" s="40">
        <f t="shared" si="5"/>
        <v>1</v>
      </c>
      <c r="F43" s="25">
        <f t="shared" si="6"/>
        <v>4794.3</v>
      </c>
      <c r="G43" s="25">
        <f t="shared" si="7"/>
        <v>4949.1000000000004</v>
      </c>
    </row>
    <row r="44" spans="1:7" ht="15" customHeight="1" x14ac:dyDescent="0.3">
      <c r="A44" s="41" t="s">
        <v>75</v>
      </c>
      <c r="B44" s="42"/>
      <c r="C44" s="42"/>
      <c r="D44" s="42"/>
      <c r="E44" s="42"/>
      <c r="F44" s="43">
        <f>SUM(F32:F43)</f>
        <v>56331.880000000005</v>
      </c>
      <c r="G44" s="43">
        <f>SUM(G32:G43)</f>
        <v>58119.799999999996</v>
      </c>
    </row>
    <row r="46" spans="1:7" ht="18" customHeight="1" x14ac:dyDescent="0.3">
      <c r="A46" s="10" t="s">
        <v>81</v>
      </c>
      <c r="B46" s="10"/>
      <c r="C46" s="10"/>
      <c r="D46" s="10"/>
      <c r="E46" s="10"/>
      <c r="F46" s="10"/>
      <c r="G46" s="10"/>
    </row>
    <row r="47" spans="1:7" ht="15" customHeight="1" x14ac:dyDescent="0.3">
      <c r="A47" s="9" t="s">
        <v>77</v>
      </c>
      <c r="B47" s="9"/>
      <c r="C47" s="9"/>
      <c r="D47" s="9"/>
      <c r="E47" s="9"/>
      <c r="F47" s="9"/>
      <c r="G47" s="9"/>
    </row>
    <row r="48" spans="1:7" ht="15.75" customHeight="1" x14ac:dyDescent="0.3">
      <c r="A48" s="36" t="s">
        <v>19</v>
      </c>
      <c r="B48" s="8" t="s">
        <v>52</v>
      </c>
      <c r="C48" s="8"/>
      <c r="D48" s="8" t="s">
        <v>53</v>
      </c>
      <c r="E48" s="8"/>
      <c r="F48" s="8" t="s">
        <v>82</v>
      </c>
      <c r="G48" s="8"/>
    </row>
    <row r="49" spans="1:7" ht="21.75" customHeight="1" x14ac:dyDescent="0.3">
      <c r="A49" s="37">
        <f>COUNT(B53:B64)</f>
        <v>12</v>
      </c>
      <c r="B49" s="7">
        <f>F65</f>
        <v>56331.880000000005</v>
      </c>
      <c r="C49" s="7"/>
      <c r="D49" s="7">
        <f>G65</f>
        <v>58173.17</v>
      </c>
      <c r="E49" s="7"/>
      <c r="F49" s="6">
        <f>(G65-F65)/F65</f>
        <v>3.2686464573878832E-2</v>
      </c>
      <c r="G49" s="6"/>
    </row>
    <row r="51" spans="1:7" ht="18" customHeight="1" x14ac:dyDescent="0.3">
      <c r="A51" s="10" t="s">
        <v>83</v>
      </c>
      <c r="B51" s="10"/>
      <c r="C51" s="10"/>
      <c r="D51" s="10"/>
      <c r="E51" s="10"/>
      <c r="F51" s="10"/>
      <c r="G51" s="10"/>
    </row>
    <row r="52" spans="1:7" ht="15" customHeight="1" x14ac:dyDescent="0.3">
      <c r="A52" s="36" t="s">
        <v>58</v>
      </c>
      <c r="B52" s="36" t="s">
        <v>59</v>
      </c>
      <c r="C52" s="36" t="s">
        <v>84</v>
      </c>
      <c r="D52" s="36" t="s">
        <v>61</v>
      </c>
      <c r="E52" s="36" t="s">
        <v>62</v>
      </c>
      <c r="F52" s="36" t="s">
        <v>63</v>
      </c>
      <c r="G52" s="36" t="s">
        <v>53</v>
      </c>
    </row>
    <row r="53" spans="1:7" ht="15" customHeight="1" x14ac:dyDescent="0.3">
      <c r="A53" s="29" t="s">
        <v>100</v>
      </c>
      <c r="B53" s="20">
        <v>85.16</v>
      </c>
      <c r="C53" s="20">
        <v>83.22</v>
      </c>
      <c r="D53" s="21">
        <f t="shared" ref="D53:D64" si="8">(C53-B53)/B53</f>
        <v>-2.278064819163924E-2</v>
      </c>
      <c r="E53" s="39">
        <f t="shared" ref="E53:E64" si="9">ROUND($B$22/B53,0)</f>
        <v>56</v>
      </c>
      <c r="F53" s="20">
        <f t="shared" ref="F53:F64" si="10">B53*E53</f>
        <v>4768.96</v>
      </c>
      <c r="G53" s="20">
        <f t="shared" ref="G53:G64" si="11">C53*E53</f>
        <v>4660.32</v>
      </c>
    </row>
    <row r="54" spans="1:7" ht="15" customHeight="1" x14ac:dyDescent="0.3">
      <c r="A54" s="31" t="s">
        <v>102</v>
      </c>
      <c r="B54" s="25">
        <v>170.39</v>
      </c>
      <c r="C54" s="25">
        <v>176</v>
      </c>
      <c r="D54" s="26">
        <f t="shared" si="8"/>
        <v>3.2924467398321583E-2</v>
      </c>
      <c r="E54" s="40">
        <f t="shared" si="9"/>
        <v>28</v>
      </c>
      <c r="F54" s="25">
        <f t="shared" si="10"/>
        <v>4770.92</v>
      </c>
      <c r="G54" s="25">
        <f t="shared" si="11"/>
        <v>4928</v>
      </c>
    </row>
    <row r="55" spans="1:7" ht="15" customHeight="1" x14ac:dyDescent="0.3">
      <c r="A55" s="29" t="s">
        <v>103</v>
      </c>
      <c r="B55" s="20">
        <v>280.8</v>
      </c>
      <c r="C55" s="20">
        <v>273.8</v>
      </c>
      <c r="D55" s="21">
        <f t="shared" si="8"/>
        <v>-2.4928774928774929E-2</v>
      </c>
      <c r="E55" s="39">
        <f t="shared" si="9"/>
        <v>17</v>
      </c>
      <c r="F55" s="20">
        <f t="shared" si="10"/>
        <v>4773.6000000000004</v>
      </c>
      <c r="G55" s="20">
        <f t="shared" si="11"/>
        <v>4654.6000000000004</v>
      </c>
    </row>
    <row r="56" spans="1:7" ht="15" customHeight="1" x14ac:dyDescent="0.3">
      <c r="A56" s="31" t="s">
        <v>104</v>
      </c>
      <c r="B56" s="25">
        <v>286.95</v>
      </c>
      <c r="C56" s="25">
        <v>280.7</v>
      </c>
      <c r="D56" s="26">
        <f t="shared" si="8"/>
        <v>-2.1780798048440495E-2</v>
      </c>
      <c r="E56" s="40">
        <f t="shared" si="9"/>
        <v>17</v>
      </c>
      <c r="F56" s="25">
        <f t="shared" si="10"/>
        <v>4878.1499999999996</v>
      </c>
      <c r="G56" s="25">
        <f t="shared" si="11"/>
        <v>4771.8999999999996</v>
      </c>
    </row>
    <row r="57" spans="1:7" ht="15" customHeight="1" x14ac:dyDescent="0.3">
      <c r="A57" s="29" t="s">
        <v>105</v>
      </c>
      <c r="B57" s="20">
        <v>339.6</v>
      </c>
      <c r="C57" s="20">
        <v>339.9</v>
      </c>
      <c r="D57" s="21">
        <f t="shared" si="8"/>
        <v>8.8339222614827588E-4</v>
      </c>
      <c r="E57" s="39">
        <f t="shared" si="9"/>
        <v>14</v>
      </c>
      <c r="F57" s="20">
        <f t="shared" si="10"/>
        <v>4754.4000000000005</v>
      </c>
      <c r="G57" s="20">
        <f t="shared" si="11"/>
        <v>4758.5999999999995</v>
      </c>
    </row>
    <row r="58" spans="1:7" ht="15" customHeight="1" x14ac:dyDescent="0.3">
      <c r="A58" s="31" t="s">
        <v>106</v>
      </c>
      <c r="B58" s="25">
        <v>439.05</v>
      </c>
      <c r="C58" s="25">
        <v>427.65</v>
      </c>
      <c r="D58" s="26">
        <f t="shared" si="8"/>
        <v>-2.5965152032798165E-2</v>
      </c>
      <c r="E58" s="40">
        <f t="shared" si="9"/>
        <v>11</v>
      </c>
      <c r="F58" s="25">
        <f t="shared" si="10"/>
        <v>4829.55</v>
      </c>
      <c r="G58" s="25">
        <f t="shared" si="11"/>
        <v>4704.1499999999996</v>
      </c>
    </row>
    <row r="59" spans="1:7" ht="15" customHeight="1" x14ac:dyDescent="0.3">
      <c r="A59" s="29" t="s">
        <v>107</v>
      </c>
      <c r="B59" s="20">
        <v>1000.4</v>
      </c>
      <c r="C59" s="20">
        <v>1096.5</v>
      </c>
      <c r="D59" s="21">
        <f t="shared" si="8"/>
        <v>9.606157536985209E-2</v>
      </c>
      <c r="E59" s="39">
        <f t="shared" si="9"/>
        <v>5</v>
      </c>
      <c r="F59" s="20">
        <f t="shared" si="10"/>
        <v>5002</v>
      </c>
      <c r="G59" s="20">
        <f t="shared" si="11"/>
        <v>5482.5</v>
      </c>
    </row>
    <row r="60" spans="1:7" ht="15" customHeight="1" x14ac:dyDescent="0.3">
      <c r="A60" s="31" t="s">
        <v>108</v>
      </c>
      <c r="B60" s="25">
        <v>1071.8</v>
      </c>
      <c r="C60" s="25">
        <v>1203.9000000000001</v>
      </c>
      <c r="D60" s="26">
        <f t="shared" si="8"/>
        <v>0.12325060645642857</v>
      </c>
      <c r="E60" s="40">
        <f t="shared" si="9"/>
        <v>4</v>
      </c>
      <c r="F60" s="25">
        <f t="shared" si="10"/>
        <v>4287.2</v>
      </c>
      <c r="G60" s="25">
        <f t="shared" si="11"/>
        <v>4815.6000000000004</v>
      </c>
    </row>
    <row r="61" spans="1:7" ht="15" customHeight="1" x14ac:dyDescent="0.3">
      <c r="A61" s="29" t="s">
        <v>109</v>
      </c>
      <c r="B61" s="20">
        <v>2031.5</v>
      </c>
      <c r="C61" s="20">
        <v>2269</v>
      </c>
      <c r="D61" s="21">
        <f t="shared" si="8"/>
        <v>0.11690868816145705</v>
      </c>
      <c r="E61" s="39">
        <f t="shared" si="9"/>
        <v>2</v>
      </c>
      <c r="F61" s="20">
        <f t="shared" si="10"/>
        <v>4063</v>
      </c>
      <c r="G61" s="20">
        <f t="shared" si="11"/>
        <v>4538</v>
      </c>
    </row>
    <row r="62" spans="1:7" ht="15" customHeight="1" x14ac:dyDescent="0.3">
      <c r="A62" s="31" t="s">
        <v>110</v>
      </c>
      <c r="B62" s="25">
        <v>2935.9</v>
      </c>
      <c r="C62" s="25">
        <v>2937</v>
      </c>
      <c r="D62" s="26">
        <f t="shared" si="8"/>
        <v>3.7467216185834291E-4</v>
      </c>
      <c r="E62" s="40">
        <f t="shared" si="9"/>
        <v>2</v>
      </c>
      <c r="F62" s="25">
        <f t="shared" si="10"/>
        <v>5871.8</v>
      </c>
      <c r="G62" s="25">
        <f t="shared" si="11"/>
        <v>5874</v>
      </c>
    </row>
    <row r="63" spans="1:7" ht="15" customHeight="1" x14ac:dyDescent="0.3">
      <c r="A63" s="29" t="s">
        <v>111</v>
      </c>
      <c r="B63" s="20">
        <v>3538</v>
      </c>
      <c r="C63" s="20">
        <v>4075.6</v>
      </c>
      <c r="D63" s="21">
        <f t="shared" si="8"/>
        <v>0.15195025438100621</v>
      </c>
      <c r="E63" s="39">
        <f t="shared" si="9"/>
        <v>1</v>
      </c>
      <c r="F63" s="20">
        <f t="shared" si="10"/>
        <v>3538</v>
      </c>
      <c r="G63" s="20">
        <f t="shared" si="11"/>
        <v>4075.6</v>
      </c>
    </row>
    <row r="64" spans="1:7" ht="15" customHeight="1" x14ac:dyDescent="0.3">
      <c r="A64" s="31" t="s">
        <v>71</v>
      </c>
      <c r="B64" s="25">
        <v>4794.3</v>
      </c>
      <c r="C64" s="25">
        <v>4909.8999999999996</v>
      </c>
      <c r="D64" s="26">
        <f t="shared" si="8"/>
        <v>2.411196629330652E-2</v>
      </c>
      <c r="E64" s="40">
        <f t="shared" si="9"/>
        <v>1</v>
      </c>
      <c r="F64" s="25">
        <f t="shared" si="10"/>
        <v>4794.3</v>
      </c>
      <c r="G64" s="25">
        <f t="shared" si="11"/>
        <v>4909.8999999999996</v>
      </c>
    </row>
    <row r="65" spans="1:7" ht="15" customHeight="1" x14ac:dyDescent="0.3">
      <c r="A65" s="41" t="s">
        <v>75</v>
      </c>
      <c r="B65" s="42"/>
      <c r="C65" s="42"/>
      <c r="D65" s="42"/>
      <c r="E65" s="42"/>
      <c r="F65" s="43">
        <f>SUM(F53:F64)</f>
        <v>56331.880000000005</v>
      </c>
      <c r="G65" s="43">
        <f>SUM(G53:G64)</f>
        <v>58173.17</v>
      </c>
    </row>
    <row r="67" spans="1:7" ht="18" customHeight="1" x14ac:dyDescent="0.3">
      <c r="A67" s="10" t="s">
        <v>85</v>
      </c>
      <c r="B67" s="10"/>
      <c r="C67" s="10"/>
      <c r="D67" s="10"/>
      <c r="E67" s="10"/>
      <c r="F67" s="10"/>
      <c r="G67" s="10"/>
    </row>
    <row r="68" spans="1:7" ht="15" customHeight="1" x14ac:dyDescent="0.3">
      <c r="A68" s="9" t="s">
        <v>77</v>
      </c>
      <c r="B68" s="9"/>
      <c r="C68" s="9"/>
      <c r="D68" s="9"/>
      <c r="E68" s="9"/>
      <c r="F68" s="9"/>
      <c r="G68" s="9"/>
    </row>
    <row r="69" spans="1:7" ht="15.75" customHeight="1" x14ac:dyDescent="0.3">
      <c r="A69" s="36" t="s">
        <v>19</v>
      </c>
      <c r="B69" s="8" t="s">
        <v>52</v>
      </c>
      <c r="C69" s="8"/>
      <c r="D69" s="8" t="s">
        <v>53</v>
      </c>
      <c r="E69" s="8"/>
      <c r="F69" s="8" t="s">
        <v>86</v>
      </c>
      <c r="G69" s="8"/>
    </row>
    <row r="70" spans="1:7" ht="21.75" customHeight="1" x14ac:dyDescent="0.3">
      <c r="A70" s="37">
        <f>COUNT(B74:B85)</f>
        <v>12</v>
      </c>
      <c r="B70" s="7">
        <f>F86</f>
        <v>56331.880000000005</v>
      </c>
      <c r="C70" s="7"/>
      <c r="D70" s="7">
        <f>G86</f>
        <v>58353.369999999995</v>
      </c>
      <c r="E70" s="7"/>
      <c r="F70" s="6">
        <f>(G86-F86)/F86</f>
        <v>3.588536366973711E-2</v>
      </c>
      <c r="G70" s="6"/>
    </row>
    <row r="72" spans="1:7" ht="18" customHeight="1" x14ac:dyDescent="0.3">
      <c r="A72" s="10" t="s">
        <v>87</v>
      </c>
      <c r="B72" s="10"/>
      <c r="C72" s="10"/>
      <c r="D72" s="10"/>
      <c r="E72" s="10"/>
      <c r="F72" s="10"/>
      <c r="G72" s="10"/>
    </row>
    <row r="73" spans="1:7" ht="15" customHeight="1" x14ac:dyDescent="0.3">
      <c r="A73" s="36" t="s">
        <v>58</v>
      </c>
      <c r="B73" s="36" t="s">
        <v>59</v>
      </c>
      <c r="C73" s="36" t="s">
        <v>88</v>
      </c>
      <c r="D73" s="36" t="s">
        <v>61</v>
      </c>
      <c r="E73" s="36" t="s">
        <v>62</v>
      </c>
      <c r="F73" s="36" t="s">
        <v>63</v>
      </c>
      <c r="G73" s="36" t="s">
        <v>53</v>
      </c>
    </row>
    <row r="74" spans="1:7" ht="15" customHeight="1" x14ac:dyDescent="0.3">
      <c r="A74" s="29" t="s">
        <v>100</v>
      </c>
      <c r="B74" s="20">
        <v>85.16</v>
      </c>
      <c r="C74" s="20">
        <v>83.56</v>
      </c>
      <c r="D74" s="21">
        <f t="shared" ref="D74:D85" si="12">(C74-B74)/B74</f>
        <v>-1.8788163457022011E-2</v>
      </c>
      <c r="E74" s="39">
        <f t="shared" ref="E74:E85" si="13">ROUND($B$22/B74,0)</f>
        <v>56</v>
      </c>
      <c r="F74" s="20">
        <f t="shared" ref="F74:F85" si="14">B74*E74</f>
        <v>4768.96</v>
      </c>
      <c r="G74" s="20">
        <f t="shared" ref="G74:G85" si="15">C74*E74</f>
        <v>4679.3600000000006</v>
      </c>
    </row>
    <row r="75" spans="1:7" ht="15" customHeight="1" x14ac:dyDescent="0.3">
      <c r="A75" s="31" t="s">
        <v>102</v>
      </c>
      <c r="B75" s="25">
        <v>170.39</v>
      </c>
      <c r="C75" s="25">
        <v>177.12</v>
      </c>
      <c r="D75" s="26">
        <f t="shared" si="12"/>
        <v>3.9497623099947289E-2</v>
      </c>
      <c r="E75" s="40">
        <f t="shared" si="13"/>
        <v>28</v>
      </c>
      <c r="F75" s="25">
        <f t="shared" si="14"/>
        <v>4770.92</v>
      </c>
      <c r="G75" s="25">
        <f t="shared" si="15"/>
        <v>4959.3600000000006</v>
      </c>
    </row>
    <row r="76" spans="1:7" ht="15" customHeight="1" x14ac:dyDescent="0.3">
      <c r="A76" s="29" t="s">
        <v>103</v>
      </c>
      <c r="B76" s="20">
        <v>280.8</v>
      </c>
      <c r="C76" s="20">
        <v>274.7</v>
      </c>
      <c r="D76" s="21">
        <f t="shared" si="12"/>
        <v>-2.1723646723646805E-2</v>
      </c>
      <c r="E76" s="39">
        <f t="shared" si="13"/>
        <v>17</v>
      </c>
      <c r="F76" s="20">
        <f t="shared" si="14"/>
        <v>4773.6000000000004</v>
      </c>
      <c r="G76" s="20">
        <f t="shared" si="15"/>
        <v>4669.8999999999996</v>
      </c>
    </row>
    <row r="77" spans="1:7" ht="15" customHeight="1" x14ac:dyDescent="0.3">
      <c r="A77" s="31" t="s">
        <v>104</v>
      </c>
      <c r="B77" s="25">
        <v>286.95</v>
      </c>
      <c r="C77" s="25">
        <v>283.45</v>
      </c>
      <c r="D77" s="26">
        <f t="shared" si="12"/>
        <v>-1.2197246907126678E-2</v>
      </c>
      <c r="E77" s="40">
        <f t="shared" si="13"/>
        <v>17</v>
      </c>
      <c r="F77" s="25">
        <f t="shared" si="14"/>
        <v>4878.1499999999996</v>
      </c>
      <c r="G77" s="25">
        <f t="shared" si="15"/>
        <v>4818.6499999999996</v>
      </c>
    </row>
    <row r="78" spans="1:7" ht="15" customHeight="1" x14ac:dyDescent="0.3">
      <c r="A78" s="29" t="s">
        <v>105</v>
      </c>
      <c r="B78" s="20">
        <v>339.6</v>
      </c>
      <c r="C78" s="20">
        <v>343.9</v>
      </c>
      <c r="D78" s="21">
        <f t="shared" si="12"/>
        <v>1.2661955241460406E-2</v>
      </c>
      <c r="E78" s="39">
        <f t="shared" si="13"/>
        <v>14</v>
      </c>
      <c r="F78" s="20">
        <f t="shared" si="14"/>
        <v>4754.4000000000005</v>
      </c>
      <c r="G78" s="20">
        <f t="shared" si="15"/>
        <v>4814.5999999999995</v>
      </c>
    </row>
    <row r="79" spans="1:7" ht="15" customHeight="1" x14ac:dyDescent="0.3">
      <c r="A79" s="31" t="s">
        <v>106</v>
      </c>
      <c r="B79" s="25">
        <v>439.05</v>
      </c>
      <c r="C79" s="25">
        <v>427.4</v>
      </c>
      <c r="D79" s="26">
        <f t="shared" si="12"/>
        <v>-2.6534563261587596E-2</v>
      </c>
      <c r="E79" s="40">
        <f t="shared" si="13"/>
        <v>11</v>
      </c>
      <c r="F79" s="25">
        <f t="shared" si="14"/>
        <v>4829.55</v>
      </c>
      <c r="G79" s="25">
        <f t="shared" si="15"/>
        <v>4701.3999999999996</v>
      </c>
    </row>
    <row r="80" spans="1:7" ht="15" customHeight="1" x14ac:dyDescent="0.3">
      <c r="A80" s="29" t="s">
        <v>107</v>
      </c>
      <c r="B80" s="20">
        <v>1000.4</v>
      </c>
      <c r="C80" s="20">
        <v>1040.9000000000001</v>
      </c>
      <c r="D80" s="21">
        <f t="shared" si="12"/>
        <v>4.0483806477409151E-2</v>
      </c>
      <c r="E80" s="39">
        <f t="shared" si="13"/>
        <v>5</v>
      </c>
      <c r="F80" s="20">
        <f t="shared" si="14"/>
        <v>5002</v>
      </c>
      <c r="G80" s="20">
        <f t="shared" si="15"/>
        <v>5204.5</v>
      </c>
    </row>
    <row r="81" spans="1:7" ht="15" customHeight="1" x14ac:dyDescent="0.3">
      <c r="A81" s="31" t="s">
        <v>108</v>
      </c>
      <c r="B81" s="25">
        <v>1071.8</v>
      </c>
      <c r="C81" s="25">
        <v>1271</v>
      </c>
      <c r="D81" s="26">
        <f t="shared" si="12"/>
        <v>0.18585557006904277</v>
      </c>
      <c r="E81" s="40">
        <f t="shared" si="13"/>
        <v>4</v>
      </c>
      <c r="F81" s="25">
        <f t="shared" si="14"/>
        <v>4287.2</v>
      </c>
      <c r="G81" s="25">
        <f t="shared" si="15"/>
        <v>5084</v>
      </c>
    </row>
    <row r="82" spans="1:7" ht="15" customHeight="1" x14ac:dyDescent="0.3">
      <c r="A82" s="29" t="s">
        <v>109</v>
      </c>
      <c r="B82" s="20">
        <v>2031.5</v>
      </c>
      <c r="C82" s="20">
        <v>2254.3000000000002</v>
      </c>
      <c r="D82" s="21">
        <f t="shared" si="12"/>
        <v>0.109672655673148</v>
      </c>
      <c r="E82" s="39">
        <f t="shared" si="13"/>
        <v>2</v>
      </c>
      <c r="F82" s="20">
        <f t="shared" si="14"/>
        <v>4063</v>
      </c>
      <c r="G82" s="20">
        <f t="shared" si="15"/>
        <v>4508.6000000000004</v>
      </c>
    </row>
    <row r="83" spans="1:7" ht="15" customHeight="1" x14ac:dyDescent="0.3">
      <c r="A83" s="31" t="s">
        <v>110</v>
      </c>
      <c r="B83" s="25">
        <v>2935.9</v>
      </c>
      <c r="C83" s="25">
        <v>2905.1</v>
      </c>
      <c r="D83" s="26">
        <f t="shared" si="12"/>
        <v>-1.0490820532034531E-2</v>
      </c>
      <c r="E83" s="40">
        <f t="shared" si="13"/>
        <v>2</v>
      </c>
      <c r="F83" s="25">
        <f t="shared" si="14"/>
        <v>5871.8</v>
      </c>
      <c r="G83" s="25">
        <f t="shared" si="15"/>
        <v>5810.2</v>
      </c>
    </row>
    <row r="84" spans="1:7" ht="15" customHeight="1" x14ac:dyDescent="0.3">
      <c r="A84" s="29" t="s">
        <v>111</v>
      </c>
      <c r="B84" s="20">
        <v>3538</v>
      </c>
      <c r="C84" s="20">
        <v>4091.8</v>
      </c>
      <c r="D84" s="21">
        <f t="shared" si="12"/>
        <v>0.15652911249293391</v>
      </c>
      <c r="E84" s="39">
        <f t="shared" si="13"/>
        <v>1</v>
      </c>
      <c r="F84" s="20">
        <f t="shared" si="14"/>
        <v>3538</v>
      </c>
      <c r="G84" s="20">
        <f t="shared" si="15"/>
        <v>4091.8</v>
      </c>
    </row>
    <row r="85" spans="1:7" ht="15" customHeight="1" x14ac:dyDescent="0.3">
      <c r="A85" s="31" t="s">
        <v>71</v>
      </c>
      <c r="B85" s="25">
        <v>4794.3</v>
      </c>
      <c r="C85" s="25">
        <v>5011</v>
      </c>
      <c r="D85" s="26">
        <f t="shared" si="12"/>
        <v>4.5199507748784978E-2</v>
      </c>
      <c r="E85" s="40">
        <f t="shared" si="13"/>
        <v>1</v>
      </c>
      <c r="F85" s="25">
        <f t="shared" si="14"/>
        <v>4794.3</v>
      </c>
      <c r="G85" s="25">
        <f t="shared" si="15"/>
        <v>5011</v>
      </c>
    </row>
    <row r="86" spans="1:7" ht="15" customHeight="1" x14ac:dyDescent="0.3">
      <c r="A86" s="41" t="s">
        <v>75</v>
      </c>
      <c r="B86" s="42"/>
      <c r="C86" s="42"/>
      <c r="D86" s="42"/>
      <c r="E86" s="42"/>
      <c r="F86" s="43">
        <f>SUM(F74:F85)</f>
        <v>56331.880000000005</v>
      </c>
      <c r="G86" s="43">
        <f>SUM(G74:G85)</f>
        <v>58353.369999999995</v>
      </c>
    </row>
    <row r="88" spans="1:7" ht="18" customHeight="1" x14ac:dyDescent="0.3">
      <c r="A88" s="10" t="s">
        <v>89</v>
      </c>
      <c r="B88" s="10"/>
      <c r="C88" s="10"/>
      <c r="D88" s="10"/>
      <c r="E88" s="10"/>
      <c r="F88" s="10"/>
      <c r="G88" s="10"/>
    </row>
    <row r="89" spans="1:7" ht="15" customHeight="1" x14ac:dyDescent="0.3">
      <c r="A89" s="9" t="s">
        <v>77</v>
      </c>
      <c r="B89" s="9"/>
      <c r="C89" s="9"/>
      <c r="D89" s="9"/>
      <c r="E89" s="9"/>
      <c r="F89" s="9"/>
      <c r="G89" s="9"/>
    </row>
    <row r="90" spans="1:7" ht="15.75" customHeight="1" x14ac:dyDescent="0.3">
      <c r="A90" s="36" t="s">
        <v>19</v>
      </c>
      <c r="B90" s="8" t="s">
        <v>52</v>
      </c>
      <c r="C90" s="8"/>
      <c r="D90" s="8" t="s">
        <v>53</v>
      </c>
      <c r="E90" s="8"/>
      <c r="F90" s="8" t="s">
        <v>90</v>
      </c>
      <c r="G90" s="8"/>
    </row>
    <row r="91" spans="1:7" ht="21.75" customHeight="1" x14ac:dyDescent="0.3">
      <c r="A91" s="37">
        <f>COUNT(B95:B106)</f>
        <v>12</v>
      </c>
      <c r="B91" s="7">
        <f>F107</f>
        <v>56331.880000000005</v>
      </c>
      <c r="C91" s="7"/>
      <c r="D91" s="7">
        <f>G107</f>
        <v>60599.939999999995</v>
      </c>
      <c r="E91" s="7"/>
      <c r="F91" s="6">
        <f>(G107-F107)/F107</f>
        <v>7.5766333379961581E-2</v>
      </c>
      <c r="G91" s="6"/>
    </row>
    <row r="93" spans="1:7" ht="18" customHeight="1" x14ac:dyDescent="0.3">
      <c r="A93" s="10" t="s">
        <v>91</v>
      </c>
      <c r="B93" s="10"/>
      <c r="C93" s="10"/>
      <c r="D93" s="10"/>
      <c r="E93" s="10"/>
      <c r="F93" s="10"/>
      <c r="G93" s="10"/>
    </row>
    <row r="94" spans="1:7" ht="15" customHeight="1" x14ac:dyDescent="0.3">
      <c r="A94" s="36" t="s">
        <v>58</v>
      </c>
      <c r="B94" s="36" t="s">
        <v>59</v>
      </c>
      <c r="C94" s="36" t="s">
        <v>92</v>
      </c>
      <c r="D94" s="36" t="s">
        <v>61</v>
      </c>
      <c r="E94" s="36" t="s">
        <v>62</v>
      </c>
      <c r="F94" s="36" t="s">
        <v>63</v>
      </c>
      <c r="G94" s="36" t="s">
        <v>53</v>
      </c>
    </row>
    <row r="95" spans="1:7" ht="15" customHeight="1" x14ac:dyDescent="0.3">
      <c r="A95" s="29" t="s">
        <v>100</v>
      </c>
      <c r="B95" s="20">
        <v>85.16</v>
      </c>
      <c r="C95" s="20">
        <v>85.04</v>
      </c>
      <c r="D95" s="21">
        <f t="shared" ref="D95:D106" si="16">(C95-B95)/B95</f>
        <v>-1.4091122592765422E-3</v>
      </c>
      <c r="E95" s="39">
        <f t="shared" ref="E95:E106" si="17">ROUND($B$22/B95,0)</f>
        <v>56</v>
      </c>
      <c r="F95" s="20">
        <f t="shared" ref="F95:F106" si="18">B95*E95</f>
        <v>4768.96</v>
      </c>
      <c r="G95" s="20">
        <f t="shared" ref="G95:G106" si="19">C95*E95</f>
        <v>4762.2400000000007</v>
      </c>
    </row>
    <row r="96" spans="1:7" ht="15" customHeight="1" x14ac:dyDescent="0.3">
      <c r="A96" s="31" t="s">
        <v>102</v>
      </c>
      <c r="B96" s="25">
        <v>170.39</v>
      </c>
      <c r="C96" s="25">
        <v>183.65</v>
      </c>
      <c r="D96" s="26">
        <f t="shared" si="16"/>
        <v>7.7821468396032753E-2</v>
      </c>
      <c r="E96" s="40">
        <f t="shared" si="17"/>
        <v>28</v>
      </c>
      <c r="F96" s="25">
        <f t="shared" si="18"/>
        <v>4770.92</v>
      </c>
      <c r="G96" s="25">
        <f t="shared" si="19"/>
        <v>5142.2</v>
      </c>
    </row>
    <row r="97" spans="1:7" ht="15" customHeight="1" x14ac:dyDescent="0.3">
      <c r="A97" s="29" t="s">
        <v>103</v>
      </c>
      <c r="B97" s="20">
        <v>280.8</v>
      </c>
      <c r="C97" s="20">
        <v>280.75</v>
      </c>
      <c r="D97" s="21">
        <f t="shared" si="16"/>
        <v>-1.7806267806271854E-4</v>
      </c>
      <c r="E97" s="39">
        <f t="shared" si="17"/>
        <v>17</v>
      </c>
      <c r="F97" s="20">
        <f t="shared" si="18"/>
        <v>4773.6000000000004</v>
      </c>
      <c r="G97" s="20">
        <f t="shared" si="19"/>
        <v>4772.75</v>
      </c>
    </row>
    <row r="98" spans="1:7" ht="15" customHeight="1" x14ac:dyDescent="0.3">
      <c r="A98" s="31" t="s">
        <v>104</v>
      </c>
      <c r="B98" s="25">
        <v>286.95</v>
      </c>
      <c r="C98" s="25">
        <v>281</v>
      </c>
      <c r="D98" s="26">
        <f t="shared" si="16"/>
        <v>-2.0735319742115312E-2</v>
      </c>
      <c r="E98" s="40">
        <f t="shared" si="17"/>
        <v>17</v>
      </c>
      <c r="F98" s="25">
        <f t="shared" si="18"/>
        <v>4878.1499999999996</v>
      </c>
      <c r="G98" s="25">
        <f t="shared" si="19"/>
        <v>4777</v>
      </c>
    </row>
    <row r="99" spans="1:7" ht="15" customHeight="1" x14ac:dyDescent="0.3">
      <c r="A99" s="29" t="s">
        <v>105</v>
      </c>
      <c r="B99" s="20">
        <v>339.6</v>
      </c>
      <c r="C99" s="20">
        <v>350.05</v>
      </c>
      <c r="D99" s="21">
        <f t="shared" si="16"/>
        <v>3.077149587750291E-2</v>
      </c>
      <c r="E99" s="39">
        <f t="shared" si="17"/>
        <v>14</v>
      </c>
      <c r="F99" s="20">
        <f t="shared" si="18"/>
        <v>4754.4000000000005</v>
      </c>
      <c r="G99" s="20">
        <f t="shared" si="19"/>
        <v>4900.7</v>
      </c>
    </row>
    <row r="100" spans="1:7" ht="15" customHeight="1" x14ac:dyDescent="0.3">
      <c r="A100" s="31" t="s">
        <v>106</v>
      </c>
      <c r="B100" s="25">
        <v>439.05</v>
      </c>
      <c r="C100" s="25">
        <v>414.15</v>
      </c>
      <c r="D100" s="26">
        <f t="shared" si="16"/>
        <v>-5.6713358387427477E-2</v>
      </c>
      <c r="E100" s="40">
        <f t="shared" si="17"/>
        <v>11</v>
      </c>
      <c r="F100" s="25">
        <f t="shared" si="18"/>
        <v>4829.55</v>
      </c>
      <c r="G100" s="25">
        <f t="shared" si="19"/>
        <v>4555.6499999999996</v>
      </c>
    </row>
    <row r="101" spans="1:7" ht="15" customHeight="1" x14ac:dyDescent="0.3">
      <c r="A101" s="29" t="s">
        <v>107</v>
      </c>
      <c r="B101" s="20">
        <v>1000.4</v>
      </c>
      <c r="C101" s="20">
        <v>1130.0999999999999</v>
      </c>
      <c r="D101" s="21">
        <f t="shared" si="16"/>
        <v>0.12964814074370246</v>
      </c>
      <c r="E101" s="39">
        <f t="shared" si="17"/>
        <v>5</v>
      </c>
      <c r="F101" s="20">
        <f t="shared" si="18"/>
        <v>5002</v>
      </c>
      <c r="G101" s="20">
        <f t="shared" si="19"/>
        <v>5650.5</v>
      </c>
    </row>
    <row r="102" spans="1:7" ht="15" customHeight="1" x14ac:dyDescent="0.3">
      <c r="A102" s="31" t="s">
        <v>108</v>
      </c>
      <c r="B102" s="25">
        <v>1071.8</v>
      </c>
      <c r="C102" s="25">
        <v>1346.9</v>
      </c>
      <c r="D102" s="26">
        <f t="shared" si="16"/>
        <v>0.25667102071281972</v>
      </c>
      <c r="E102" s="40">
        <f t="shared" si="17"/>
        <v>4</v>
      </c>
      <c r="F102" s="25">
        <f t="shared" si="18"/>
        <v>4287.2</v>
      </c>
      <c r="G102" s="25">
        <f t="shared" si="19"/>
        <v>5387.6</v>
      </c>
    </row>
    <row r="103" spans="1:7" ht="15" customHeight="1" x14ac:dyDescent="0.3">
      <c r="A103" s="29" t="s">
        <v>109</v>
      </c>
      <c r="B103" s="20">
        <v>2031.5</v>
      </c>
      <c r="C103" s="20">
        <v>2365.6</v>
      </c>
      <c r="D103" s="21">
        <f t="shared" si="16"/>
        <v>0.164459758798917</v>
      </c>
      <c r="E103" s="39">
        <f t="shared" si="17"/>
        <v>2</v>
      </c>
      <c r="F103" s="20">
        <f t="shared" si="18"/>
        <v>4063</v>
      </c>
      <c r="G103" s="20">
        <f t="shared" si="19"/>
        <v>4731.2</v>
      </c>
    </row>
    <row r="104" spans="1:7" ht="15" customHeight="1" x14ac:dyDescent="0.3">
      <c r="A104" s="31" t="s">
        <v>110</v>
      </c>
      <c r="B104" s="25">
        <v>2935.9</v>
      </c>
      <c r="C104" s="25">
        <v>3086</v>
      </c>
      <c r="D104" s="26">
        <f t="shared" si="16"/>
        <v>5.1125719540856263E-2</v>
      </c>
      <c r="E104" s="40">
        <f t="shared" si="17"/>
        <v>2</v>
      </c>
      <c r="F104" s="25">
        <f t="shared" si="18"/>
        <v>5871.8</v>
      </c>
      <c r="G104" s="25">
        <f t="shared" si="19"/>
        <v>6172</v>
      </c>
    </row>
    <row r="105" spans="1:7" ht="15" customHeight="1" x14ac:dyDescent="0.3">
      <c r="A105" s="29" t="s">
        <v>111</v>
      </c>
      <c r="B105" s="20">
        <v>3538</v>
      </c>
      <c r="C105" s="20">
        <v>4362.1000000000004</v>
      </c>
      <c r="D105" s="21">
        <f t="shared" si="16"/>
        <v>0.23292820802713407</v>
      </c>
      <c r="E105" s="39">
        <f t="shared" si="17"/>
        <v>1</v>
      </c>
      <c r="F105" s="20">
        <f t="shared" si="18"/>
        <v>3538</v>
      </c>
      <c r="G105" s="20">
        <f t="shared" si="19"/>
        <v>4362.1000000000004</v>
      </c>
    </row>
    <row r="106" spans="1:7" ht="15" customHeight="1" x14ac:dyDescent="0.3">
      <c r="A106" s="31" t="s">
        <v>71</v>
      </c>
      <c r="B106" s="25">
        <v>4794.3</v>
      </c>
      <c r="C106" s="25">
        <v>5386</v>
      </c>
      <c r="D106" s="26">
        <f t="shared" si="16"/>
        <v>0.12341739148572259</v>
      </c>
      <c r="E106" s="40">
        <f t="shared" si="17"/>
        <v>1</v>
      </c>
      <c r="F106" s="25">
        <f t="shared" si="18"/>
        <v>4794.3</v>
      </c>
      <c r="G106" s="25">
        <f t="shared" si="19"/>
        <v>5386</v>
      </c>
    </row>
    <row r="107" spans="1:7" ht="15" customHeight="1" x14ac:dyDescent="0.3">
      <c r="A107" s="41" t="s">
        <v>75</v>
      </c>
      <c r="B107" s="42"/>
      <c r="C107" s="42"/>
      <c r="D107" s="42"/>
      <c r="E107" s="42"/>
      <c r="F107" s="43">
        <f>SUM(F95:F106)</f>
        <v>56331.880000000005</v>
      </c>
      <c r="G107" s="43">
        <f>SUM(G95:G106)</f>
        <v>60599.939999999995</v>
      </c>
    </row>
    <row r="109" spans="1:7" ht="39.75" customHeight="1" x14ac:dyDescent="0.3">
      <c r="A109" s="5" t="s">
        <v>93</v>
      </c>
      <c r="B109" s="5"/>
      <c r="C109" s="5"/>
      <c r="D109" s="5"/>
      <c r="E109" s="5"/>
      <c r="F109" s="5"/>
      <c r="G109" s="5"/>
    </row>
  </sheetData>
  <mergeCells count="48">
    <mergeCell ref="B91:C91"/>
    <mergeCell ref="D91:E91"/>
    <mergeCell ref="F91:G91"/>
    <mergeCell ref="A93:G93"/>
    <mergeCell ref="A109:G109"/>
    <mergeCell ref="A72:G72"/>
    <mergeCell ref="A88:G88"/>
    <mergeCell ref="A89:G89"/>
    <mergeCell ref="B90:C90"/>
    <mergeCell ref="D90:E90"/>
    <mergeCell ref="F90:G90"/>
    <mergeCell ref="A68:G68"/>
    <mergeCell ref="B69:C69"/>
    <mergeCell ref="D69:E69"/>
    <mergeCell ref="F69:G69"/>
    <mergeCell ref="B70:C70"/>
    <mergeCell ref="D70:E70"/>
    <mergeCell ref="F70:G70"/>
    <mergeCell ref="B49:C49"/>
    <mergeCell ref="D49:E49"/>
    <mergeCell ref="F49:G49"/>
    <mergeCell ref="A51:G51"/>
    <mergeCell ref="A67:G67"/>
    <mergeCell ref="A30:G30"/>
    <mergeCell ref="A46:G46"/>
    <mergeCell ref="A47:G47"/>
    <mergeCell ref="B48:C48"/>
    <mergeCell ref="D48:E48"/>
    <mergeCell ref="F48:G48"/>
    <mergeCell ref="A26:G26"/>
    <mergeCell ref="B27:C27"/>
    <mergeCell ref="D27:E27"/>
    <mergeCell ref="F27:G27"/>
    <mergeCell ref="B28:C28"/>
    <mergeCell ref="D28:E28"/>
    <mergeCell ref="F28:G28"/>
    <mergeCell ref="B7:C7"/>
    <mergeCell ref="D7:E7"/>
    <mergeCell ref="F7:G7"/>
    <mergeCell ref="A9:G9"/>
    <mergeCell ref="A25:G25"/>
    <mergeCell ref="A1:G1"/>
    <mergeCell ref="A2:G2"/>
    <mergeCell ref="A4:G4"/>
    <mergeCell ref="A5:G5"/>
    <mergeCell ref="B6:C6"/>
    <mergeCell ref="D6:E6"/>
    <mergeCell ref="F6:G6"/>
  </mergeCells>
  <conditionalFormatting sqref="F7">
    <cfRule type="cellIs" dxfId="59" priority="2" operator="greaterThanOrEqual">
      <formula>0</formula>
    </cfRule>
    <cfRule type="cellIs" dxfId="58" priority="3" operator="lessThan">
      <formula>0</formula>
    </cfRule>
  </conditionalFormatting>
  <conditionalFormatting sqref="F28">
    <cfRule type="cellIs" dxfId="57" priority="4" operator="greaterThanOrEqual">
      <formula>0</formula>
    </cfRule>
    <cfRule type="cellIs" dxfId="56" priority="5" operator="lessThan">
      <formula>0</formula>
    </cfRule>
  </conditionalFormatting>
  <conditionalFormatting sqref="F49">
    <cfRule type="cellIs" dxfId="55" priority="6" operator="greaterThanOrEqual">
      <formula>0</formula>
    </cfRule>
    <cfRule type="cellIs" dxfId="54" priority="7" operator="lessThan">
      <formula>0</formula>
    </cfRule>
  </conditionalFormatting>
  <conditionalFormatting sqref="F70">
    <cfRule type="cellIs" dxfId="53" priority="8" operator="greaterThanOrEqual">
      <formula>0</formula>
    </cfRule>
    <cfRule type="cellIs" dxfId="52" priority="9" operator="lessThan">
      <formula>0</formula>
    </cfRule>
  </conditionalFormatting>
  <conditionalFormatting sqref="F91">
    <cfRule type="cellIs" dxfId="51" priority="10" operator="greaterThanOrEqual">
      <formula>0</formula>
    </cfRule>
    <cfRule type="cellIs" dxfId="5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4"/>
  <sheetViews>
    <sheetView showGridLines="0" zoomScaleNormal="100" workbookViewId="0">
      <pane ySplit="3" topLeftCell="A4" activePane="bottomLeft" state="frozen"/>
      <selection pane="bottomLeft" activeCell="D13" sqref="D13"/>
    </sheetView>
  </sheetViews>
  <sheetFormatPr defaultColWidth="8.6640625" defaultRowHeight="14.4" x14ac:dyDescent="0.3"/>
  <cols>
    <col min="1" max="1" width="34" customWidth="1"/>
    <col min="2" max="3" width="15" customWidth="1"/>
    <col min="4" max="4" width="11" customWidth="1"/>
    <col min="5" max="5" width="12" customWidth="1"/>
    <col min="6" max="7" width="16" customWidth="1"/>
    <col min="9" max="9" width="40" customWidth="1"/>
  </cols>
  <sheetData>
    <row r="1" spans="1:9" ht="25.5" customHeight="1" x14ac:dyDescent="0.3">
      <c r="A1" s="12" t="s">
        <v>112</v>
      </c>
      <c r="B1" s="12"/>
      <c r="C1" s="12"/>
      <c r="D1" s="12"/>
      <c r="E1" s="12"/>
      <c r="F1" s="12"/>
      <c r="G1" s="12"/>
    </row>
    <row r="2" spans="1:9" ht="15.75" customHeight="1" x14ac:dyDescent="0.3">
      <c r="A2" s="11" t="s">
        <v>188</v>
      </c>
      <c r="B2" s="11"/>
      <c r="C2" s="11"/>
      <c r="D2" s="11"/>
      <c r="E2" s="11"/>
      <c r="F2" s="11"/>
      <c r="G2" s="11"/>
    </row>
    <row r="4" spans="1:9" ht="18" customHeight="1" x14ac:dyDescent="0.3">
      <c r="A4" s="10" t="s">
        <v>48</v>
      </c>
      <c r="B4" s="10"/>
      <c r="C4" s="10"/>
      <c r="D4" s="10"/>
      <c r="E4" s="10"/>
      <c r="F4" s="10"/>
      <c r="G4" s="10"/>
      <c r="I4" s="33" t="s">
        <v>49</v>
      </c>
    </row>
    <row r="5" spans="1:9" ht="15" customHeight="1" x14ac:dyDescent="0.3">
      <c r="A5" s="9" t="s">
        <v>113</v>
      </c>
      <c r="B5" s="9"/>
      <c r="C5" s="9"/>
      <c r="D5" s="9"/>
      <c r="E5" s="9"/>
      <c r="F5" s="9"/>
      <c r="G5" s="9"/>
      <c r="I5" s="34" t="s">
        <v>114</v>
      </c>
    </row>
    <row r="6" spans="1:9" ht="15.75" customHeight="1" x14ac:dyDescent="0.3">
      <c r="A6" s="36" t="s">
        <v>19</v>
      </c>
      <c r="B6" s="8" t="s">
        <v>52</v>
      </c>
      <c r="C6" s="8"/>
      <c r="D6" s="8" t="s">
        <v>53</v>
      </c>
      <c r="E6" s="8"/>
      <c r="F6" s="8" t="s">
        <v>54</v>
      </c>
      <c r="G6" s="8"/>
      <c r="I6" s="34" t="s">
        <v>115</v>
      </c>
    </row>
    <row r="7" spans="1:9" ht="21.75" customHeight="1" x14ac:dyDescent="0.3">
      <c r="A7" s="37">
        <f>COUNT(B11:B21)</f>
        <v>11</v>
      </c>
      <c r="B7" s="7">
        <f>F22</f>
        <v>22506.789999999997</v>
      </c>
      <c r="C7" s="7"/>
      <c r="D7" s="7">
        <f>G22</f>
        <v>22670.400000000001</v>
      </c>
      <c r="E7" s="7"/>
      <c r="F7" s="6">
        <f>(G22-F22)/F22</f>
        <v>7.2693618236987258E-3</v>
      </c>
      <c r="G7" s="6"/>
      <c r="I7" s="34" t="s">
        <v>116</v>
      </c>
    </row>
    <row r="8" spans="1:9" ht="14.25" customHeight="1" x14ac:dyDescent="0.3">
      <c r="I8" s="34" t="s">
        <v>117</v>
      </c>
    </row>
    <row r="9" spans="1:9" ht="18" customHeight="1" x14ac:dyDescent="0.3">
      <c r="A9" s="10" t="s">
        <v>57</v>
      </c>
      <c r="B9" s="10"/>
      <c r="C9" s="10"/>
      <c r="D9" s="10"/>
      <c r="E9" s="10"/>
      <c r="F9" s="10"/>
      <c r="G9" s="10"/>
      <c r="I9" s="38" t="s">
        <v>118</v>
      </c>
    </row>
    <row r="10" spans="1:9" ht="15" customHeight="1" x14ac:dyDescent="0.3">
      <c r="A10" s="36" t="s">
        <v>58</v>
      </c>
      <c r="B10" s="36" t="s">
        <v>59</v>
      </c>
      <c r="C10" s="36" t="s">
        <v>60</v>
      </c>
      <c r="D10" s="36" t="s">
        <v>61</v>
      </c>
      <c r="E10" s="36" t="s">
        <v>62</v>
      </c>
      <c r="F10" s="36" t="s">
        <v>63</v>
      </c>
      <c r="G10" s="36" t="s">
        <v>53</v>
      </c>
      <c r="I10" s="35"/>
    </row>
    <row r="11" spans="1:9" ht="15" customHeight="1" x14ac:dyDescent="0.3">
      <c r="A11" s="29" t="s">
        <v>100</v>
      </c>
      <c r="B11" s="20">
        <v>85.16</v>
      </c>
      <c r="C11" s="20">
        <v>85.4</v>
      </c>
      <c r="D11" s="21">
        <f t="shared" ref="D11:D21" si="0">(C11-B11)/B11</f>
        <v>2.8182245185534183E-3</v>
      </c>
      <c r="E11" s="39">
        <f t="shared" ref="E11:E21" si="1">ROUND($B$21/B11,0)</f>
        <v>24</v>
      </c>
      <c r="F11" s="20">
        <f t="shared" ref="F11:F21" si="2">B11*E11</f>
        <v>2043.84</v>
      </c>
      <c r="G11" s="20">
        <f t="shared" ref="G11:G21" si="3">C11*E11</f>
        <v>2049.6000000000004</v>
      </c>
      <c r="I11" s="35"/>
    </row>
    <row r="12" spans="1:9" ht="15" customHeight="1" x14ac:dyDescent="0.3">
      <c r="A12" s="31" t="s">
        <v>119</v>
      </c>
      <c r="B12" s="25">
        <v>139.38</v>
      </c>
      <c r="C12" s="25">
        <v>141.56</v>
      </c>
      <c r="D12" s="26">
        <f t="shared" si="0"/>
        <v>1.5640694504233082E-2</v>
      </c>
      <c r="E12" s="40">
        <f t="shared" si="1"/>
        <v>15</v>
      </c>
      <c r="F12" s="25">
        <f t="shared" si="2"/>
        <v>2090.6999999999998</v>
      </c>
      <c r="G12" s="25">
        <f t="shared" si="3"/>
        <v>2123.4</v>
      </c>
      <c r="I12" s="35"/>
    </row>
    <row r="13" spans="1:9" ht="15" customHeight="1" x14ac:dyDescent="0.3">
      <c r="A13" s="29" t="s">
        <v>64</v>
      </c>
      <c r="B13" s="20">
        <v>280.75</v>
      </c>
      <c r="C13" s="20">
        <v>280.39999999999998</v>
      </c>
      <c r="D13" s="21">
        <f t="shared" si="0"/>
        <v>-1.2466607301870802E-3</v>
      </c>
      <c r="E13" s="39">
        <f t="shared" si="1"/>
        <v>7</v>
      </c>
      <c r="F13" s="20">
        <f t="shared" si="2"/>
        <v>1965.25</v>
      </c>
      <c r="G13" s="20">
        <f t="shared" si="3"/>
        <v>1962.7999999999997</v>
      </c>
    </row>
    <row r="14" spans="1:9" ht="15" customHeight="1" x14ac:dyDescent="0.3">
      <c r="A14" s="31" t="s">
        <v>103</v>
      </c>
      <c r="B14" s="25">
        <v>280.8</v>
      </c>
      <c r="C14" s="25">
        <v>275.95</v>
      </c>
      <c r="D14" s="26">
        <f t="shared" si="0"/>
        <v>-1.7272079772079851E-2</v>
      </c>
      <c r="E14" s="40">
        <f t="shared" si="1"/>
        <v>7</v>
      </c>
      <c r="F14" s="25">
        <f t="shared" si="2"/>
        <v>1965.6000000000001</v>
      </c>
      <c r="G14" s="25">
        <f t="shared" si="3"/>
        <v>1931.6499999999999</v>
      </c>
    </row>
    <row r="15" spans="1:9" ht="15" customHeight="1" x14ac:dyDescent="0.3">
      <c r="A15" s="29" t="s">
        <v>120</v>
      </c>
      <c r="B15" s="20">
        <v>303.55</v>
      </c>
      <c r="C15" s="20">
        <v>308.14999999999998</v>
      </c>
      <c r="D15" s="21">
        <f t="shared" si="0"/>
        <v>1.5154010871355513E-2</v>
      </c>
      <c r="E15" s="39">
        <f t="shared" si="1"/>
        <v>7</v>
      </c>
      <c r="F15" s="20">
        <f t="shared" si="2"/>
        <v>2124.85</v>
      </c>
      <c r="G15" s="20">
        <f t="shared" si="3"/>
        <v>2157.0499999999997</v>
      </c>
    </row>
    <row r="16" spans="1:9" ht="15" customHeight="1" x14ac:dyDescent="0.3">
      <c r="A16" s="31" t="s">
        <v>121</v>
      </c>
      <c r="B16" s="25">
        <v>391.7</v>
      </c>
      <c r="C16" s="25">
        <v>383.3</v>
      </c>
      <c r="D16" s="26">
        <f t="shared" si="0"/>
        <v>-2.1444983405667545E-2</v>
      </c>
      <c r="E16" s="40">
        <f t="shared" si="1"/>
        <v>5</v>
      </c>
      <c r="F16" s="25">
        <f t="shared" si="2"/>
        <v>1958.5</v>
      </c>
      <c r="G16" s="25">
        <f t="shared" si="3"/>
        <v>1916.5</v>
      </c>
    </row>
    <row r="17" spans="1:7" ht="15" customHeight="1" x14ac:dyDescent="0.3">
      <c r="A17" s="29" t="s">
        <v>122</v>
      </c>
      <c r="B17" s="20">
        <v>394.45</v>
      </c>
      <c r="C17" s="20">
        <v>399.25</v>
      </c>
      <c r="D17" s="21">
        <f t="shared" si="0"/>
        <v>1.2168842692356475E-2</v>
      </c>
      <c r="E17" s="39">
        <f t="shared" si="1"/>
        <v>5</v>
      </c>
      <c r="F17" s="20">
        <f t="shared" si="2"/>
        <v>1972.25</v>
      </c>
      <c r="G17" s="20">
        <f t="shared" si="3"/>
        <v>1996.25</v>
      </c>
    </row>
    <row r="18" spans="1:7" ht="15" customHeight="1" x14ac:dyDescent="0.3">
      <c r="A18" s="31" t="s">
        <v>123</v>
      </c>
      <c r="B18" s="25">
        <v>431.65</v>
      </c>
      <c r="C18" s="25">
        <v>430.35</v>
      </c>
      <c r="D18" s="26">
        <f t="shared" si="0"/>
        <v>-3.0116992934089066E-3</v>
      </c>
      <c r="E18" s="40">
        <f t="shared" si="1"/>
        <v>5</v>
      </c>
      <c r="F18" s="25">
        <f t="shared" si="2"/>
        <v>2158.25</v>
      </c>
      <c r="G18" s="25">
        <f t="shared" si="3"/>
        <v>2151.75</v>
      </c>
    </row>
    <row r="19" spans="1:7" ht="15" customHeight="1" x14ac:dyDescent="0.3">
      <c r="A19" s="29" t="s">
        <v>106</v>
      </c>
      <c r="B19" s="20">
        <v>439.05</v>
      </c>
      <c r="C19" s="20">
        <v>438.7</v>
      </c>
      <c r="D19" s="21">
        <f t="shared" si="0"/>
        <v>-7.9717572030525621E-4</v>
      </c>
      <c r="E19" s="39">
        <f t="shared" si="1"/>
        <v>5</v>
      </c>
      <c r="F19" s="20">
        <f t="shared" si="2"/>
        <v>2195.25</v>
      </c>
      <c r="G19" s="20">
        <f t="shared" si="3"/>
        <v>2193.5</v>
      </c>
    </row>
    <row r="20" spans="1:7" ht="15" customHeight="1" x14ac:dyDescent="0.3">
      <c r="A20" s="31" t="s">
        <v>107</v>
      </c>
      <c r="B20" s="25">
        <v>1000.4</v>
      </c>
      <c r="C20" s="25">
        <v>1047.2</v>
      </c>
      <c r="D20" s="26">
        <f t="shared" si="0"/>
        <v>4.6781287485006068E-2</v>
      </c>
      <c r="E20" s="40">
        <f t="shared" si="1"/>
        <v>2</v>
      </c>
      <c r="F20" s="25">
        <f t="shared" si="2"/>
        <v>2000.8</v>
      </c>
      <c r="G20" s="25">
        <f t="shared" si="3"/>
        <v>2094.4</v>
      </c>
    </row>
    <row r="21" spans="1:7" ht="15" customHeight="1" x14ac:dyDescent="0.3">
      <c r="A21" s="29" t="s">
        <v>109</v>
      </c>
      <c r="B21" s="20">
        <v>2031.5</v>
      </c>
      <c r="C21" s="20">
        <v>2093.5</v>
      </c>
      <c r="D21" s="21">
        <f t="shared" si="0"/>
        <v>3.0519320698990892E-2</v>
      </c>
      <c r="E21" s="39">
        <f t="shared" si="1"/>
        <v>1</v>
      </c>
      <c r="F21" s="20">
        <f t="shared" si="2"/>
        <v>2031.5</v>
      </c>
      <c r="G21" s="20">
        <f t="shared" si="3"/>
        <v>2093.5</v>
      </c>
    </row>
    <row r="22" spans="1:7" ht="15" customHeight="1" x14ac:dyDescent="0.3">
      <c r="A22" s="41" t="s">
        <v>75</v>
      </c>
      <c r="B22" s="42"/>
      <c r="C22" s="42"/>
      <c r="D22" s="42"/>
      <c r="E22" s="42"/>
      <c r="F22" s="43">
        <f>SUM(F11:F21)</f>
        <v>22506.789999999997</v>
      </c>
      <c r="G22" s="43">
        <f>SUM(G11:G21)</f>
        <v>22670.400000000001</v>
      </c>
    </row>
    <row r="24" spans="1:7" ht="18" customHeight="1" x14ac:dyDescent="0.3">
      <c r="A24" s="10" t="s">
        <v>76</v>
      </c>
      <c r="B24" s="10"/>
      <c r="C24" s="10"/>
      <c r="D24" s="10"/>
      <c r="E24" s="10"/>
      <c r="F24" s="10"/>
      <c r="G24" s="10"/>
    </row>
    <row r="25" spans="1:7" ht="15" customHeight="1" x14ac:dyDescent="0.3">
      <c r="A25" s="9" t="s">
        <v>77</v>
      </c>
      <c r="B25" s="9"/>
      <c r="C25" s="9"/>
      <c r="D25" s="9"/>
      <c r="E25" s="9"/>
      <c r="F25" s="9"/>
      <c r="G25" s="9"/>
    </row>
    <row r="26" spans="1:7" ht="15.75" customHeight="1" x14ac:dyDescent="0.3">
      <c r="A26" s="36" t="s">
        <v>19</v>
      </c>
      <c r="B26" s="8" t="s">
        <v>52</v>
      </c>
      <c r="C26" s="8"/>
      <c r="D26" s="8" t="s">
        <v>53</v>
      </c>
      <c r="E26" s="8"/>
      <c r="F26" s="8" t="s">
        <v>78</v>
      </c>
      <c r="G26" s="8"/>
    </row>
    <row r="27" spans="1:7" ht="21.75" customHeight="1" x14ac:dyDescent="0.3">
      <c r="A27" s="37">
        <f>COUNT(B31:B41)</f>
        <v>11</v>
      </c>
      <c r="B27" s="7">
        <f>F42</f>
        <v>22506.789999999997</v>
      </c>
      <c r="C27" s="7"/>
      <c r="D27" s="7">
        <f>G42</f>
        <v>22837.73</v>
      </c>
      <c r="E27" s="7"/>
      <c r="F27" s="6">
        <f>(G42-F42)/F42</f>
        <v>1.4704007101856922E-2</v>
      </c>
      <c r="G27" s="6"/>
    </row>
    <row r="29" spans="1:7" ht="18" customHeight="1" x14ac:dyDescent="0.3">
      <c r="A29" s="10" t="s">
        <v>79</v>
      </c>
      <c r="B29" s="10"/>
      <c r="C29" s="10"/>
      <c r="D29" s="10"/>
      <c r="E29" s="10"/>
      <c r="F29" s="10"/>
      <c r="G29" s="10"/>
    </row>
    <row r="30" spans="1:7" ht="15" customHeight="1" x14ac:dyDescent="0.3">
      <c r="A30" s="36" t="s">
        <v>58</v>
      </c>
      <c r="B30" s="36" t="s">
        <v>59</v>
      </c>
      <c r="C30" s="36" t="s">
        <v>80</v>
      </c>
      <c r="D30" s="36" t="s">
        <v>61</v>
      </c>
      <c r="E30" s="36" t="s">
        <v>62</v>
      </c>
      <c r="F30" s="36" t="s">
        <v>63</v>
      </c>
      <c r="G30" s="36" t="s">
        <v>53</v>
      </c>
    </row>
    <row r="31" spans="1:7" ht="15" customHeight="1" x14ac:dyDescent="0.3">
      <c r="A31" s="29" t="s">
        <v>100</v>
      </c>
      <c r="B31" s="20">
        <v>85.16</v>
      </c>
      <c r="C31" s="20">
        <v>84.92</v>
      </c>
      <c r="D31" s="21">
        <f t="shared" ref="D31:D41" si="4">(C31-B31)/B31</f>
        <v>-2.8182245185532514E-3</v>
      </c>
      <c r="E31" s="39">
        <f t="shared" ref="E31:E41" si="5">ROUND($B$21/B31,0)</f>
        <v>24</v>
      </c>
      <c r="F31" s="20">
        <f t="shared" ref="F31:F41" si="6">B31*E31</f>
        <v>2043.84</v>
      </c>
      <c r="G31" s="20">
        <f t="shared" ref="G31:G41" si="7">C31*E31</f>
        <v>2038.08</v>
      </c>
    </row>
    <row r="32" spans="1:7" ht="15" customHeight="1" x14ac:dyDescent="0.3">
      <c r="A32" s="31" t="s">
        <v>119</v>
      </c>
      <c r="B32" s="25">
        <v>139.38</v>
      </c>
      <c r="C32" s="25">
        <v>138.96</v>
      </c>
      <c r="D32" s="26">
        <f t="shared" si="4"/>
        <v>-3.013344812742054E-3</v>
      </c>
      <c r="E32" s="40">
        <f t="shared" si="5"/>
        <v>15</v>
      </c>
      <c r="F32" s="25">
        <f t="shared" si="6"/>
        <v>2090.6999999999998</v>
      </c>
      <c r="G32" s="25">
        <f t="shared" si="7"/>
        <v>2084.4</v>
      </c>
    </row>
    <row r="33" spans="1:7" ht="15" customHeight="1" x14ac:dyDescent="0.3">
      <c r="A33" s="29" t="s">
        <v>64</v>
      </c>
      <c r="B33" s="20">
        <v>280.75</v>
      </c>
      <c r="C33" s="20">
        <v>272.55</v>
      </c>
      <c r="D33" s="21">
        <f t="shared" si="4"/>
        <v>-2.920747996438108E-2</v>
      </c>
      <c r="E33" s="39">
        <f t="shared" si="5"/>
        <v>7</v>
      </c>
      <c r="F33" s="20">
        <f t="shared" si="6"/>
        <v>1965.25</v>
      </c>
      <c r="G33" s="20">
        <f t="shared" si="7"/>
        <v>1907.8500000000001</v>
      </c>
    </row>
    <row r="34" spans="1:7" ht="15" customHeight="1" x14ac:dyDescent="0.3">
      <c r="A34" s="31" t="s">
        <v>103</v>
      </c>
      <c r="B34" s="25">
        <v>280.8</v>
      </c>
      <c r="C34" s="25">
        <v>278.95</v>
      </c>
      <c r="D34" s="26">
        <f t="shared" si="4"/>
        <v>-6.5883190883191693E-3</v>
      </c>
      <c r="E34" s="40">
        <f t="shared" si="5"/>
        <v>7</v>
      </c>
      <c r="F34" s="25">
        <f t="shared" si="6"/>
        <v>1965.6000000000001</v>
      </c>
      <c r="G34" s="25">
        <f t="shared" si="7"/>
        <v>1952.6499999999999</v>
      </c>
    </row>
    <row r="35" spans="1:7" ht="15" customHeight="1" x14ac:dyDescent="0.3">
      <c r="A35" s="29" t="s">
        <v>120</v>
      </c>
      <c r="B35" s="20">
        <v>303.55</v>
      </c>
      <c r="C35" s="20">
        <v>309.75</v>
      </c>
      <c r="D35" s="21">
        <f t="shared" si="4"/>
        <v>2.0424971174435803E-2</v>
      </c>
      <c r="E35" s="39">
        <f t="shared" si="5"/>
        <v>7</v>
      </c>
      <c r="F35" s="20">
        <f t="shared" si="6"/>
        <v>2124.85</v>
      </c>
      <c r="G35" s="20">
        <f t="shared" si="7"/>
        <v>2168.25</v>
      </c>
    </row>
    <row r="36" spans="1:7" ht="15" customHeight="1" x14ac:dyDescent="0.3">
      <c r="A36" s="31" t="s">
        <v>121</v>
      </c>
      <c r="B36" s="25">
        <v>391.7</v>
      </c>
      <c r="C36" s="25">
        <v>406.15</v>
      </c>
      <c r="D36" s="26">
        <f t="shared" si="4"/>
        <v>3.6890477406178172E-2</v>
      </c>
      <c r="E36" s="40">
        <f t="shared" si="5"/>
        <v>5</v>
      </c>
      <c r="F36" s="25">
        <f t="shared" si="6"/>
        <v>1958.5</v>
      </c>
      <c r="G36" s="25">
        <f t="shared" si="7"/>
        <v>2030.75</v>
      </c>
    </row>
    <row r="37" spans="1:7" ht="15" customHeight="1" x14ac:dyDescent="0.3">
      <c r="A37" s="29" t="s">
        <v>122</v>
      </c>
      <c r="B37" s="20">
        <v>394.45</v>
      </c>
      <c r="C37" s="20">
        <v>395.3</v>
      </c>
      <c r="D37" s="21">
        <f t="shared" si="4"/>
        <v>2.1548992267715118E-3</v>
      </c>
      <c r="E37" s="39">
        <f t="shared" si="5"/>
        <v>5</v>
      </c>
      <c r="F37" s="20">
        <f t="shared" si="6"/>
        <v>1972.25</v>
      </c>
      <c r="G37" s="20">
        <f t="shared" si="7"/>
        <v>1976.5</v>
      </c>
    </row>
    <row r="38" spans="1:7" ht="15" customHeight="1" x14ac:dyDescent="0.3">
      <c r="A38" s="31" t="s">
        <v>123</v>
      </c>
      <c r="B38" s="25">
        <v>431.65</v>
      </c>
      <c r="C38" s="25">
        <v>443.05</v>
      </c>
      <c r="D38" s="26">
        <f t="shared" si="4"/>
        <v>2.6410286111432955E-2</v>
      </c>
      <c r="E38" s="40">
        <f t="shared" si="5"/>
        <v>5</v>
      </c>
      <c r="F38" s="25">
        <f t="shared" si="6"/>
        <v>2158.25</v>
      </c>
      <c r="G38" s="25">
        <f t="shared" si="7"/>
        <v>2215.25</v>
      </c>
    </row>
    <row r="39" spans="1:7" ht="15" customHeight="1" x14ac:dyDescent="0.3">
      <c r="A39" s="29" t="s">
        <v>106</v>
      </c>
      <c r="B39" s="20">
        <v>439.05</v>
      </c>
      <c r="C39" s="20">
        <v>429.3</v>
      </c>
      <c r="D39" s="21">
        <f t="shared" si="4"/>
        <v>-2.2207037922787838E-2</v>
      </c>
      <c r="E39" s="39">
        <f t="shared" si="5"/>
        <v>5</v>
      </c>
      <c r="F39" s="20">
        <f t="shared" si="6"/>
        <v>2195.25</v>
      </c>
      <c r="G39" s="20">
        <f t="shared" si="7"/>
        <v>2146.5</v>
      </c>
    </row>
    <row r="40" spans="1:7" ht="15" customHeight="1" x14ac:dyDescent="0.3">
      <c r="A40" s="31" t="s">
        <v>107</v>
      </c>
      <c r="B40" s="25">
        <v>1000.4</v>
      </c>
      <c r="C40" s="25">
        <v>1068</v>
      </c>
      <c r="D40" s="26">
        <f t="shared" si="4"/>
        <v>6.7572970811675348E-2</v>
      </c>
      <c r="E40" s="40">
        <f t="shared" si="5"/>
        <v>2</v>
      </c>
      <c r="F40" s="25">
        <f t="shared" si="6"/>
        <v>2000.8</v>
      </c>
      <c r="G40" s="25">
        <f t="shared" si="7"/>
        <v>2136</v>
      </c>
    </row>
    <row r="41" spans="1:7" ht="15" customHeight="1" x14ac:dyDescent="0.3">
      <c r="A41" s="29" t="s">
        <v>109</v>
      </c>
      <c r="B41" s="20">
        <v>2031.5</v>
      </c>
      <c r="C41" s="20">
        <v>2181.5</v>
      </c>
      <c r="D41" s="21">
        <f t="shared" si="4"/>
        <v>7.3837066207236027E-2</v>
      </c>
      <c r="E41" s="39">
        <f t="shared" si="5"/>
        <v>1</v>
      </c>
      <c r="F41" s="20">
        <f t="shared" si="6"/>
        <v>2031.5</v>
      </c>
      <c r="G41" s="20">
        <f t="shared" si="7"/>
        <v>2181.5</v>
      </c>
    </row>
    <row r="42" spans="1:7" ht="15" customHeight="1" x14ac:dyDescent="0.3">
      <c r="A42" s="41" t="s">
        <v>75</v>
      </c>
      <c r="B42" s="42"/>
      <c r="C42" s="42"/>
      <c r="D42" s="42"/>
      <c r="E42" s="42"/>
      <c r="F42" s="43">
        <f>SUM(F31:F41)</f>
        <v>22506.789999999997</v>
      </c>
      <c r="G42" s="43">
        <f>SUM(G31:G41)</f>
        <v>22837.73</v>
      </c>
    </row>
    <row r="44" spans="1:7" ht="18" customHeight="1" x14ac:dyDescent="0.3">
      <c r="A44" s="10" t="s">
        <v>81</v>
      </c>
      <c r="B44" s="10"/>
      <c r="C44" s="10"/>
      <c r="D44" s="10"/>
      <c r="E44" s="10"/>
      <c r="F44" s="10"/>
      <c r="G44" s="10"/>
    </row>
    <row r="45" spans="1:7" ht="15" customHeight="1" x14ac:dyDescent="0.3">
      <c r="A45" s="9" t="s">
        <v>77</v>
      </c>
      <c r="B45" s="9"/>
      <c r="C45" s="9"/>
      <c r="D45" s="9"/>
      <c r="E45" s="9"/>
      <c r="F45" s="9"/>
      <c r="G45" s="9"/>
    </row>
    <row r="46" spans="1:7" ht="15.75" customHeight="1" x14ac:dyDescent="0.3">
      <c r="A46" s="36" t="s">
        <v>19</v>
      </c>
      <c r="B46" s="8" t="s">
        <v>52</v>
      </c>
      <c r="C46" s="8"/>
      <c r="D46" s="8" t="s">
        <v>53</v>
      </c>
      <c r="E46" s="8"/>
      <c r="F46" s="8" t="s">
        <v>82</v>
      </c>
      <c r="G46" s="8"/>
    </row>
    <row r="47" spans="1:7" ht="21.75" customHeight="1" x14ac:dyDescent="0.3">
      <c r="A47" s="37">
        <f>COUNT(B51:B61)</f>
        <v>11</v>
      </c>
      <c r="B47" s="7">
        <f>F62</f>
        <v>22506.789999999997</v>
      </c>
      <c r="C47" s="7"/>
      <c r="D47" s="7">
        <f>G62</f>
        <v>22804.68</v>
      </c>
      <c r="E47" s="7"/>
      <c r="F47" s="6">
        <f>(G62-F62)/F62</f>
        <v>1.3235561357261658E-2</v>
      </c>
      <c r="G47" s="6"/>
    </row>
    <row r="49" spans="1:7" ht="18" customHeight="1" x14ac:dyDescent="0.3">
      <c r="A49" s="10" t="s">
        <v>83</v>
      </c>
      <c r="B49" s="10"/>
      <c r="C49" s="10"/>
      <c r="D49" s="10"/>
      <c r="E49" s="10"/>
      <c r="F49" s="10"/>
      <c r="G49" s="10"/>
    </row>
    <row r="50" spans="1:7" ht="15" customHeight="1" x14ac:dyDescent="0.3">
      <c r="A50" s="36" t="s">
        <v>58</v>
      </c>
      <c r="B50" s="36" t="s">
        <v>59</v>
      </c>
      <c r="C50" s="36" t="s">
        <v>84</v>
      </c>
      <c r="D50" s="36" t="s">
        <v>61</v>
      </c>
      <c r="E50" s="36" t="s">
        <v>62</v>
      </c>
      <c r="F50" s="36" t="s">
        <v>63</v>
      </c>
      <c r="G50" s="36" t="s">
        <v>53</v>
      </c>
    </row>
    <row r="51" spans="1:7" ht="15" customHeight="1" x14ac:dyDescent="0.3">
      <c r="A51" s="29" t="s">
        <v>100</v>
      </c>
      <c r="B51" s="20">
        <v>85.16</v>
      </c>
      <c r="C51" s="20">
        <v>83.22</v>
      </c>
      <c r="D51" s="21">
        <f t="shared" ref="D51:D61" si="8">(C51-B51)/B51</f>
        <v>-2.278064819163924E-2</v>
      </c>
      <c r="E51" s="39">
        <f t="shared" ref="E51:E61" si="9">ROUND($B$21/B51,0)</f>
        <v>24</v>
      </c>
      <c r="F51" s="20">
        <f t="shared" ref="F51:F61" si="10">B51*E51</f>
        <v>2043.84</v>
      </c>
      <c r="G51" s="20">
        <f t="shared" ref="G51:G61" si="11">C51*E51</f>
        <v>1997.28</v>
      </c>
    </row>
    <row r="52" spans="1:7" ht="15" customHeight="1" x14ac:dyDescent="0.3">
      <c r="A52" s="31" t="s">
        <v>119</v>
      </c>
      <c r="B52" s="25">
        <v>139.38</v>
      </c>
      <c r="C52" s="25">
        <v>141.69</v>
      </c>
      <c r="D52" s="26">
        <f t="shared" si="8"/>
        <v>1.6573396470081807E-2</v>
      </c>
      <c r="E52" s="40">
        <f t="shared" si="9"/>
        <v>15</v>
      </c>
      <c r="F52" s="25">
        <f t="shared" si="10"/>
        <v>2090.6999999999998</v>
      </c>
      <c r="G52" s="25">
        <f t="shared" si="11"/>
        <v>2125.35</v>
      </c>
    </row>
    <row r="53" spans="1:7" ht="15" customHeight="1" x14ac:dyDescent="0.3">
      <c r="A53" s="29" t="s">
        <v>64</v>
      </c>
      <c r="B53" s="20">
        <v>280.75</v>
      </c>
      <c r="C53" s="20">
        <v>253.05</v>
      </c>
      <c r="D53" s="21">
        <f t="shared" si="8"/>
        <v>-9.8664292074799598E-2</v>
      </c>
      <c r="E53" s="39">
        <f t="shared" si="9"/>
        <v>7</v>
      </c>
      <c r="F53" s="20">
        <f t="shared" si="10"/>
        <v>1965.25</v>
      </c>
      <c r="G53" s="20">
        <f t="shared" si="11"/>
        <v>1771.3500000000001</v>
      </c>
    </row>
    <row r="54" spans="1:7" ht="15" customHeight="1" x14ac:dyDescent="0.3">
      <c r="A54" s="31" t="s">
        <v>103</v>
      </c>
      <c r="B54" s="25">
        <v>280.8</v>
      </c>
      <c r="C54" s="25">
        <v>273.8</v>
      </c>
      <c r="D54" s="26">
        <f t="shared" si="8"/>
        <v>-2.4928774928774929E-2</v>
      </c>
      <c r="E54" s="40">
        <f t="shared" si="9"/>
        <v>7</v>
      </c>
      <c r="F54" s="25">
        <f t="shared" si="10"/>
        <v>1965.6000000000001</v>
      </c>
      <c r="G54" s="25">
        <f t="shared" si="11"/>
        <v>1916.6000000000001</v>
      </c>
    </row>
    <row r="55" spans="1:7" ht="15" customHeight="1" x14ac:dyDescent="0.3">
      <c r="A55" s="29" t="s">
        <v>120</v>
      </c>
      <c r="B55" s="20">
        <v>303.55</v>
      </c>
      <c r="C55" s="20">
        <v>315.55</v>
      </c>
      <c r="D55" s="21">
        <f t="shared" si="8"/>
        <v>3.9532202273101627E-2</v>
      </c>
      <c r="E55" s="39">
        <f t="shared" si="9"/>
        <v>7</v>
      </c>
      <c r="F55" s="20">
        <f t="shared" si="10"/>
        <v>2124.85</v>
      </c>
      <c r="G55" s="20">
        <f t="shared" si="11"/>
        <v>2208.85</v>
      </c>
    </row>
    <row r="56" spans="1:7" ht="15" customHeight="1" x14ac:dyDescent="0.3">
      <c r="A56" s="31" t="s">
        <v>121</v>
      </c>
      <c r="B56" s="25">
        <v>391.7</v>
      </c>
      <c r="C56" s="25">
        <v>403.5</v>
      </c>
      <c r="D56" s="26">
        <f t="shared" si="8"/>
        <v>3.0125095736533092E-2</v>
      </c>
      <c r="E56" s="40">
        <f t="shared" si="9"/>
        <v>5</v>
      </c>
      <c r="F56" s="25">
        <f t="shared" si="10"/>
        <v>1958.5</v>
      </c>
      <c r="G56" s="25">
        <f t="shared" si="11"/>
        <v>2017.5</v>
      </c>
    </row>
    <row r="57" spans="1:7" ht="15" customHeight="1" x14ac:dyDescent="0.3">
      <c r="A57" s="29" t="s">
        <v>122</v>
      </c>
      <c r="B57" s="20">
        <v>394.45</v>
      </c>
      <c r="C57" s="20">
        <v>400.4</v>
      </c>
      <c r="D57" s="21">
        <f t="shared" si="8"/>
        <v>1.5084294587400149E-2</v>
      </c>
      <c r="E57" s="39">
        <f t="shared" si="9"/>
        <v>5</v>
      </c>
      <c r="F57" s="20">
        <f t="shared" si="10"/>
        <v>1972.25</v>
      </c>
      <c r="G57" s="20">
        <f t="shared" si="11"/>
        <v>2002</v>
      </c>
    </row>
    <row r="58" spans="1:7" ht="15" customHeight="1" x14ac:dyDescent="0.3">
      <c r="A58" s="31" t="s">
        <v>123</v>
      </c>
      <c r="B58" s="25">
        <v>431.65</v>
      </c>
      <c r="C58" s="25">
        <v>433.1</v>
      </c>
      <c r="D58" s="26">
        <f t="shared" si="8"/>
        <v>3.3592030580332343E-3</v>
      </c>
      <c r="E58" s="40">
        <f t="shared" si="9"/>
        <v>5</v>
      </c>
      <c r="F58" s="25">
        <f t="shared" si="10"/>
        <v>2158.25</v>
      </c>
      <c r="G58" s="25">
        <f t="shared" si="11"/>
        <v>2165.5</v>
      </c>
    </row>
    <row r="59" spans="1:7" ht="15" customHeight="1" x14ac:dyDescent="0.3">
      <c r="A59" s="29" t="s">
        <v>106</v>
      </c>
      <c r="B59" s="20">
        <v>439.05</v>
      </c>
      <c r="C59" s="20">
        <v>427.65</v>
      </c>
      <c r="D59" s="21">
        <f t="shared" si="8"/>
        <v>-2.5965152032798165E-2</v>
      </c>
      <c r="E59" s="39">
        <f t="shared" si="9"/>
        <v>5</v>
      </c>
      <c r="F59" s="20">
        <f t="shared" si="10"/>
        <v>2195.25</v>
      </c>
      <c r="G59" s="20">
        <f t="shared" si="11"/>
        <v>2138.25</v>
      </c>
    </row>
    <row r="60" spans="1:7" ht="15" customHeight="1" x14ac:dyDescent="0.3">
      <c r="A60" s="31" t="s">
        <v>107</v>
      </c>
      <c r="B60" s="25">
        <v>1000.4</v>
      </c>
      <c r="C60" s="25">
        <v>1096.5</v>
      </c>
      <c r="D60" s="26">
        <f t="shared" si="8"/>
        <v>9.606157536985209E-2</v>
      </c>
      <c r="E60" s="40">
        <f t="shared" si="9"/>
        <v>2</v>
      </c>
      <c r="F60" s="25">
        <f t="shared" si="10"/>
        <v>2000.8</v>
      </c>
      <c r="G60" s="25">
        <f t="shared" si="11"/>
        <v>2193</v>
      </c>
    </row>
    <row r="61" spans="1:7" ht="15" customHeight="1" x14ac:dyDescent="0.3">
      <c r="A61" s="29" t="s">
        <v>109</v>
      </c>
      <c r="B61" s="20">
        <v>2031.5</v>
      </c>
      <c r="C61" s="20">
        <v>2269</v>
      </c>
      <c r="D61" s="21">
        <f t="shared" si="8"/>
        <v>0.11690868816145705</v>
      </c>
      <c r="E61" s="39">
        <f t="shared" si="9"/>
        <v>1</v>
      </c>
      <c r="F61" s="20">
        <f t="shared" si="10"/>
        <v>2031.5</v>
      </c>
      <c r="G61" s="20">
        <f t="shared" si="11"/>
        <v>2269</v>
      </c>
    </row>
    <row r="62" spans="1:7" ht="15" customHeight="1" x14ac:dyDescent="0.3">
      <c r="A62" s="41" t="s">
        <v>75</v>
      </c>
      <c r="B62" s="42"/>
      <c r="C62" s="42"/>
      <c r="D62" s="42"/>
      <c r="E62" s="42"/>
      <c r="F62" s="43">
        <f>SUM(F51:F61)</f>
        <v>22506.789999999997</v>
      </c>
      <c r="G62" s="43">
        <f>SUM(G51:G61)</f>
        <v>22804.68</v>
      </c>
    </row>
    <row r="64" spans="1:7" ht="18" customHeight="1" x14ac:dyDescent="0.3">
      <c r="A64" s="10" t="s">
        <v>85</v>
      </c>
      <c r="B64" s="10"/>
      <c r="C64" s="10"/>
      <c r="D64" s="10"/>
      <c r="E64" s="10"/>
      <c r="F64" s="10"/>
      <c r="G64" s="10"/>
    </row>
    <row r="65" spans="1:7" ht="15" customHeight="1" x14ac:dyDescent="0.3">
      <c r="A65" s="9" t="s">
        <v>77</v>
      </c>
      <c r="B65" s="9"/>
      <c r="C65" s="9"/>
      <c r="D65" s="9"/>
      <c r="E65" s="9"/>
      <c r="F65" s="9"/>
      <c r="G65" s="9"/>
    </row>
    <row r="66" spans="1:7" ht="15.75" customHeight="1" x14ac:dyDescent="0.3">
      <c r="A66" s="36" t="s">
        <v>19</v>
      </c>
      <c r="B66" s="8" t="s">
        <v>52</v>
      </c>
      <c r="C66" s="8"/>
      <c r="D66" s="8" t="s">
        <v>53</v>
      </c>
      <c r="E66" s="8"/>
      <c r="F66" s="8" t="s">
        <v>86</v>
      </c>
      <c r="G66" s="8"/>
    </row>
    <row r="67" spans="1:7" ht="21.75" customHeight="1" x14ac:dyDescent="0.3">
      <c r="A67" s="37">
        <f>COUNT(B71:B81)</f>
        <v>11</v>
      </c>
      <c r="B67" s="7">
        <f>F82</f>
        <v>22506.789999999997</v>
      </c>
      <c r="C67" s="7"/>
      <c r="D67" s="7">
        <f>G82</f>
        <v>22487.089999999997</v>
      </c>
      <c r="E67" s="7"/>
      <c r="F67" s="6">
        <f>(G82-F82)/F82</f>
        <v>-8.7529141205834908E-4</v>
      </c>
      <c r="G67" s="6"/>
    </row>
    <row r="69" spans="1:7" ht="18" customHeight="1" x14ac:dyDescent="0.3">
      <c r="A69" s="10" t="s">
        <v>87</v>
      </c>
      <c r="B69" s="10"/>
      <c r="C69" s="10"/>
      <c r="D69" s="10"/>
      <c r="E69" s="10"/>
      <c r="F69" s="10"/>
      <c r="G69" s="10"/>
    </row>
    <row r="70" spans="1:7" ht="15" customHeight="1" x14ac:dyDescent="0.3">
      <c r="A70" s="36" t="s">
        <v>58</v>
      </c>
      <c r="B70" s="36" t="s">
        <v>59</v>
      </c>
      <c r="C70" s="36" t="s">
        <v>88</v>
      </c>
      <c r="D70" s="36" t="s">
        <v>61</v>
      </c>
      <c r="E70" s="36" t="s">
        <v>62</v>
      </c>
      <c r="F70" s="36" t="s">
        <v>63</v>
      </c>
      <c r="G70" s="36" t="s">
        <v>53</v>
      </c>
    </row>
    <row r="71" spans="1:7" ht="15" customHeight="1" x14ac:dyDescent="0.3">
      <c r="A71" s="29" t="s">
        <v>100</v>
      </c>
      <c r="B71" s="20">
        <v>85.16</v>
      </c>
      <c r="C71" s="20">
        <v>83.56</v>
      </c>
      <c r="D71" s="21">
        <f t="shared" ref="D71:D81" si="12">(C71-B71)/B71</f>
        <v>-1.8788163457022011E-2</v>
      </c>
      <c r="E71" s="39">
        <f t="shared" ref="E71:E81" si="13">ROUND($B$21/B71,0)</f>
        <v>24</v>
      </c>
      <c r="F71" s="20">
        <f t="shared" ref="F71:F81" si="14">B71*E71</f>
        <v>2043.84</v>
      </c>
      <c r="G71" s="20">
        <f t="shared" ref="G71:G81" si="15">C71*E71</f>
        <v>2005.44</v>
      </c>
    </row>
    <row r="72" spans="1:7" ht="15" customHeight="1" x14ac:dyDescent="0.3">
      <c r="A72" s="31" t="s">
        <v>119</v>
      </c>
      <c r="B72" s="25">
        <v>139.38</v>
      </c>
      <c r="C72" s="25">
        <v>138.47</v>
      </c>
      <c r="D72" s="26">
        <f t="shared" si="12"/>
        <v>-6.5289137609412873E-3</v>
      </c>
      <c r="E72" s="40">
        <f t="shared" si="13"/>
        <v>15</v>
      </c>
      <c r="F72" s="25">
        <f t="shared" si="14"/>
        <v>2090.6999999999998</v>
      </c>
      <c r="G72" s="25">
        <f t="shared" si="15"/>
        <v>2077.0500000000002</v>
      </c>
    </row>
    <row r="73" spans="1:7" ht="15" customHeight="1" x14ac:dyDescent="0.3">
      <c r="A73" s="29" t="s">
        <v>64</v>
      </c>
      <c r="B73" s="20">
        <v>280.75</v>
      </c>
      <c r="C73" s="20">
        <v>264.64999999999998</v>
      </c>
      <c r="D73" s="21">
        <f t="shared" si="12"/>
        <v>-5.7346393588602038E-2</v>
      </c>
      <c r="E73" s="39">
        <f t="shared" si="13"/>
        <v>7</v>
      </c>
      <c r="F73" s="20">
        <f t="shared" si="14"/>
        <v>1965.25</v>
      </c>
      <c r="G73" s="20">
        <f t="shared" si="15"/>
        <v>1852.5499999999997</v>
      </c>
    </row>
    <row r="74" spans="1:7" ht="15" customHeight="1" x14ac:dyDescent="0.3">
      <c r="A74" s="31" t="s">
        <v>103</v>
      </c>
      <c r="B74" s="25">
        <v>280.8</v>
      </c>
      <c r="C74" s="25">
        <v>274.7</v>
      </c>
      <c r="D74" s="26">
        <f t="shared" si="12"/>
        <v>-2.1723646723646805E-2</v>
      </c>
      <c r="E74" s="40">
        <f t="shared" si="13"/>
        <v>7</v>
      </c>
      <c r="F74" s="25">
        <f t="shared" si="14"/>
        <v>1965.6000000000001</v>
      </c>
      <c r="G74" s="25">
        <f t="shared" si="15"/>
        <v>1922.8999999999999</v>
      </c>
    </row>
    <row r="75" spans="1:7" ht="15" customHeight="1" x14ac:dyDescent="0.3">
      <c r="A75" s="29" t="s">
        <v>120</v>
      </c>
      <c r="B75" s="20">
        <v>303.55</v>
      </c>
      <c r="C75" s="20">
        <v>310.14999999999998</v>
      </c>
      <c r="D75" s="21">
        <f t="shared" si="12"/>
        <v>2.1742711250205785E-2</v>
      </c>
      <c r="E75" s="39">
        <f t="shared" si="13"/>
        <v>7</v>
      </c>
      <c r="F75" s="20">
        <f t="shared" si="14"/>
        <v>2124.85</v>
      </c>
      <c r="G75" s="20">
        <f t="shared" si="15"/>
        <v>2171.0499999999997</v>
      </c>
    </row>
    <row r="76" spans="1:7" ht="15" customHeight="1" x14ac:dyDescent="0.3">
      <c r="A76" s="31" t="s">
        <v>121</v>
      </c>
      <c r="B76" s="25">
        <v>391.7</v>
      </c>
      <c r="C76" s="25">
        <v>394.6</v>
      </c>
      <c r="D76" s="26">
        <f t="shared" si="12"/>
        <v>7.4036252233853307E-3</v>
      </c>
      <c r="E76" s="40">
        <f t="shared" si="13"/>
        <v>5</v>
      </c>
      <c r="F76" s="25">
        <f t="shared" si="14"/>
        <v>1958.5</v>
      </c>
      <c r="G76" s="25">
        <f t="shared" si="15"/>
        <v>1973</v>
      </c>
    </row>
    <row r="77" spans="1:7" ht="15" customHeight="1" x14ac:dyDescent="0.3">
      <c r="A77" s="29" t="s">
        <v>122</v>
      </c>
      <c r="B77" s="20">
        <v>394.45</v>
      </c>
      <c r="C77" s="20">
        <v>381.1</v>
      </c>
      <c r="D77" s="21">
        <f t="shared" si="12"/>
        <v>-3.3844593738116276E-2</v>
      </c>
      <c r="E77" s="39">
        <f t="shared" si="13"/>
        <v>5</v>
      </c>
      <c r="F77" s="20">
        <f t="shared" si="14"/>
        <v>1972.25</v>
      </c>
      <c r="G77" s="20">
        <f t="shared" si="15"/>
        <v>1905.5</v>
      </c>
    </row>
    <row r="78" spans="1:7" ht="15" customHeight="1" x14ac:dyDescent="0.3">
      <c r="A78" s="31" t="s">
        <v>123</v>
      </c>
      <c r="B78" s="25">
        <v>431.65</v>
      </c>
      <c r="C78" s="25">
        <v>421.3</v>
      </c>
      <c r="D78" s="26">
        <f t="shared" si="12"/>
        <v>-2.397775975906398E-2</v>
      </c>
      <c r="E78" s="40">
        <f t="shared" si="13"/>
        <v>5</v>
      </c>
      <c r="F78" s="25">
        <f t="shared" si="14"/>
        <v>2158.25</v>
      </c>
      <c r="G78" s="25">
        <f t="shared" si="15"/>
        <v>2106.5</v>
      </c>
    </row>
    <row r="79" spans="1:7" ht="15" customHeight="1" x14ac:dyDescent="0.3">
      <c r="A79" s="29" t="s">
        <v>106</v>
      </c>
      <c r="B79" s="20">
        <v>439.05</v>
      </c>
      <c r="C79" s="20">
        <v>427.4</v>
      </c>
      <c r="D79" s="21">
        <f t="shared" si="12"/>
        <v>-2.6534563261587596E-2</v>
      </c>
      <c r="E79" s="39">
        <f t="shared" si="13"/>
        <v>5</v>
      </c>
      <c r="F79" s="20">
        <f t="shared" si="14"/>
        <v>2195.25</v>
      </c>
      <c r="G79" s="20">
        <f t="shared" si="15"/>
        <v>2137</v>
      </c>
    </row>
    <row r="80" spans="1:7" ht="15" customHeight="1" x14ac:dyDescent="0.3">
      <c r="A80" s="31" t="s">
        <v>107</v>
      </c>
      <c r="B80" s="25">
        <v>1000.4</v>
      </c>
      <c r="C80" s="25">
        <v>1040.9000000000001</v>
      </c>
      <c r="D80" s="26">
        <f t="shared" si="12"/>
        <v>4.0483806477409151E-2</v>
      </c>
      <c r="E80" s="40">
        <f t="shared" si="13"/>
        <v>2</v>
      </c>
      <c r="F80" s="25">
        <f t="shared" si="14"/>
        <v>2000.8</v>
      </c>
      <c r="G80" s="25">
        <f t="shared" si="15"/>
        <v>2081.8000000000002</v>
      </c>
    </row>
    <row r="81" spans="1:7" ht="15" customHeight="1" x14ac:dyDescent="0.3">
      <c r="A81" s="29" t="s">
        <v>109</v>
      </c>
      <c r="B81" s="20">
        <v>2031.5</v>
      </c>
      <c r="C81" s="20">
        <v>2254.3000000000002</v>
      </c>
      <c r="D81" s="21">
        <f t="shared" si="12"/>
        <v>0.109672655673148</v>
      </c>
      <c r="E81" s="39">
        <f t="shared" si="13"/>
        <v>1</v>
      </c>
      <c r="F81" s="20">
        <f t="shared" si="14"/>
        <v>2031.5</v>
      </c>
      <c r="G81" s="20">
        <f t="shared" si="15"/>
        <v>2254.3000000000002</v>
      </c>
    </row>
    <row r="82" spans="1:7" ht="15" customHeight="1" x14ac:dyDescent="0.3">
      <c r="A82" s="41" t="s">
        <v>75</v>
      </c>
      <c r="B82" s="42"/>
      <c r="C82" s="42"/>
      <c r="D82" s="42"/>
      <c r="E82" s="42"/>
      <c r="F82" s="43">
        <f>SUM(F71:F81)</f>
        <v>22506.789999999997</v>
      </c>
      <c r="G82" s="43">
        <f>SUM(G71:G81)</f>
        <v>22487.089999999997</v>
      </c>
    </row>
    <row r="84" spans="1:7" ht="18" customHeight="1" x14ac:dyDescent="0.3">
      <c r="A84" s="10" t="s">
        <v>89</v>
      </c>
      <c r="B84" s="10"/>
      <c r="C84" s="10"/>
      <c r="D84" s="10"/>
      <c r="E84" s="10"/>
      <c r="F84" s="10"/>
      <c r="G84" s="10"/>
    </row>
    <row r="85" spans="1:7" ht="15" customHeight="1" x14ac:dyDescent="0.3">
      <c r="A85" s="9" t="s">
        <v>77</v>
      </c>
      <c r="B85" s="9"/>
      <c r="C85" s="9"/>
      <c r="D85" s="9"/>
      <c r="E85" s="9"/>
      <c r="F85" s="9"/>
      <c r="G85" s="9"/>
    </row>
    <row r="86" spans="1:7" ht="15.75" customHeight="1" x14ac:dyDescent="0.3">
      <c r="A86" s="36" t="s">
        <v>19</v>
      </c>
      <c r="B86" s="8" t="s">
        <v>52</v>
      </c>
      <c r="C86" s="8"/>
      <c r="D86" s="8" t="s">
        <v>53</v>
      </c>
      <c r="E86" s="8"/>
      <c r="F86" s="8" t="s">
        <v>90</v>
      </c>
      <c r="G86" s="8"/>
    </row>
    <row r="87" spans="1:7" ht="21.75" customHeight="1" x14ac:dyDescent="0.3">
      <c r="A87" s="37">
        <f>COUNT(B91:B101)</f>
        <v>11</v>
      </c>
      <c r="B87" s="7">
        <f>F102</f>
        <v>22506.789999999997</v>
      </c>
      <c r="C87" s="7"/>
      <c r="D87" s="7">
        <f>G102</f>
        <v>22921.06</v>
      </c>
      <c r="E87" s="7"/>
      <c r="F87" s="6">
        <f>(G102-F102)/F102</f>
        <v>1.8406445343827536E-2</v>
      </c>
      <c r="G87" s="6"/>
    </row>
    <row r="89" spans="1:7" ht="18" customHeight="1" x14ac:dyDescent="0.3">
      <c r="A89" s="10" t="s">
        <v>91</v>
      </c>
      <c r="B89" s="10"/>
      <c r="C89" s="10"/>
      <c r="D89" s="10"/>
      <c r="E89" s="10"/>
      <c r="F89" s="10"/>
      <c r="G89" s="10"/>
    </row>
    <row r="90" spans="1:7" ht="15" customHeight="1" x14ac:dyDescent="0.3">
      <c r="A90" s="36" t="s">
        <v>58</v>
      </c>
      <c r="B90" s="36" t="s">
        <v>59</v>
      </c>
      <c r="C90" s="36" t="s">
        <v>92</v>
      </c>
      <c r="D90" s="36" t="s">
        <v>61</v>
      </c>
      <c r="E90" s="36" t="s">
        <v>62</v>
      </c>
      <c r="F90" s="36" t="s">
        <v>63</v>
      </c>
      <c r="G90" s="36" t="s">
        <v>53</v>
      </c>
    </row>
    <row r="91" spans="1:7" ht="15" customHeight="1" x14ac:dyDescent="0.3">
      <c r="A91" s="29" t="s">
        <v>100</v>
      </c>
      <c r="B91" s="20">
        <v>85.16</v>
      </c>
      <c r="C91" s="20">
        <v>85.04</v>
      </c>
      <c r="D91" s="21">
        <f t="shared" ref="D91:D101" si="16">(C91-B91)/B91</f>
        <v>-1.4091122592765422E-3</v>
      </c>
      <c r="E91" s="39">
        <f t="shared" ref="E91:E101" si="17">ROUND($B$21/B91,0)</f>
        <v>24</v>
      </c>
      <c r="F91" s="20">
        <f t="shared" ref="F91:F101" si="18">B91*E91</f>
        <v>2043.84</v>
      </c>
      <c r="G91" s="20">
        <f t="shared" ref="G91:G101" si="19">C91*E91</f>
        <v>2040.96</v>
      </c>
    </row>
    <row r="92" spans="1:7" ht="15" customHeight="1" x14ac:dyDescent="0.3">
      <c r="A92" s="31" t="s">
        <v>119</v>
      </c>
      <c r="B92" s="25">
        <v>139.38</v>
      </c>
      <c r="C92" s="25">
        <v>140.16999999999999</v>
      </c>
      <c r="D92" s="26">
        <f t="shared" si="16"/>
        <v>5.6679581001577847E-3</v>
      </c>
      <c r="E92" s="40">
        <f t="shared" si="17"/>
        <v>15</v>
      </c>
      <c r="F92" s="25">
        <f t="shared" si="18"/>
        <v>2090.6999999999998</v>
      </c>
      <c r="G92" s="25">
        <f t="shared" si="19"/>
        <v>2102.5499999999997</v>
      </c>
    </row>
    <row r="93" spans="1:7" ht="15" customHeight="1" x14ac:dyDescent="0.3">
      <c r="A93" s="29" t="s">
        <v>64</v>
      </c>
      <c r="B93" s="20">
        <v>280.75</v>
      </c>
      <c r="C93" s="20">
        <v>264.25</v>
      </c>
      <c r="D93" s="21">
        <f t="shared" si="16"/>
        <v>-5.8771148708815675E-2</v>
      </c>
      <c r="E93" s="39">
        <f t="shared" si="17"/>
        <v>7</v>
      </c>
      <c r="F93" s="20">
        <f t="shared" si="18"/>
        <v>1965.25</v>
      </c>
      <c r="G93" s="20">
        <f t="shared" si="19"/>
        <v>1849.75</v>
      </c>
    </row>
    <row r="94" spans="1:7" ht="15" customHeight="1" x14ac:dyDescent="0.3">
      <c r="A94" s="31" t="s">
        <v>103</v>
      </c>
      <c r="B94" s="25">
        <v>280.8</v>
      </c>
      <c r="C94" s="25">
        <v>280.75</v>
      </c>
      <c r="D94" s="26">
        <f t="shared" si="16"/>
        <v>-1.7806267806271854E-4</v>
      </c>
      <c r="E94" s="40">
        <f t="shared" si="17"/>
        <v>7</v>
      </c>
      <c r="F94" s="25">
        <f t="shared" si="18"/>
        <v>1965.6000000000001</v>
      </c>
      <c r="G94" s="25">
        <f t="shared" si="19"/>
        <v>1965.25</v>
      </c>
    </row>
    <row r="95" spans="1:7" ht="15" customHeight="1" x14ac:dyDescent="0.3">
      <c r="A95" s="29" t="s">
        <v>120</v>
      </c>
      <c r="B95" s="20">
        <v>303.55</v>
      </c>
      <c r="C95" s="20">
        <v>319.75</v>
      </c>
      <c r="D95" s="21">
        <f t="shared" si="16"/>
        <v>5.336847306868716E-2</v>
      </c>
      <c r="E95" s="39">
        <f t="shared" si="17"/>
        <v>7</v>
      </c>
      <c r="F95" s="20">
        <f t="shared" si="18"/>
        <v>2124.85</v>
      </c>
      <c r="G95" s="20">
        <f t="shared" si="19"/>
        <v>2238.25</v>
      </c>
    </row>
    <row r="96" spans="1:7" ht="15" customHeight="1" x14ac:dyDescent="0.3">
      <c r="A96" s="31" t="s">
        <v>121</v>
      </c>
      <c r="B96" s="25">
        <v>391.7</v>
      </c>
      <c r="C96" s="25">
        <v>391.1</v>
      </c>
      <c r="D96" s="26">
        <f t="shared" si="16"/>
        <v>-1.5317845289761704E-3</v>
      </c>
      <c r="E96" s="40">
        <f t="shared" si="17"/>
        <v>5</v>
      </c>
      <c r="F96" s="25">
        <f t="shared" si="18"/>
        <v>1958.5</v>
      </c>
      <c r="G96" s="25">
        <f t="shared" si="19"/>
        <v>1955.5</v>
      </c>
    </row>
    <row r="97" spans="1:7" ht="15" customHeight="1" x14ac:dyDescent="0.3">
      <c r="A97" s="29" t="s">
        <v>122</v>
      </c>
      <c r="B97" s="20">
        <v>394.45</v>
      </c>
      <c r="C97" s="20">
        <v>389.75</v>
      </c>
      <c r="D97" s="21">
        <f t="shared" si="16"/>
        <v>-1.1915325136265658E-2</v>
      </c>
      <c r="E97" s="39">
        <f t="shared" si="17"/>
        <v>5</v>
      </c>
      <c r="F97" s="20">
        <f t="shared" si="18"/>
        <v>1972.25</v>
      </c>
      <c r="G97" s="20">
        <f t="shared" si="19"/>
        <v>1948.75</v>
      </c>
    </row>
    <row r="98" spans="1:7" ht="15" customHeight="1" x14ac:dyDescent="0.3">
      <c r="A98" s="31" t="s">
        <v>123</v>
      </c>
      <c r="B98" s="25">
        <v>431.65</v>
      </c>
      <c r="C98" s="25">
        <v>424.7</v>
      </c>
      <c r="D98" s="26">
        <f t="shared" si="16"/>
        <v>-1.6101007760917385E-2</v>
      </c>
      <c r="E98" s="40">
        <f t="shared" si="17"/>
        <v>5</v>
      </c>
      <c r="F98" s="25">
        <f t="shared" si="18"/>
        <v>2158.25</v>
      </c>
      <c r="G98" s="25">
        <f t="shared" si="19"/>
        <v>2123.5</v>
      </c>
    </row>
    <row r="99" spans="1:7" ht="15" customHeight="1" x14ac:dyDescent="0.3">
      <c r="A99" s="29" t="s">
        <v>106</v>
      </c>
      <c r="B99" s="20">
        <v>439.05</v>
      </c>
      <c r="C99" s="20">
        <v>414.15</v>
      </c>
      <c r="D99" s="21">
        <f t="shared" si="16"/>
        <v>-5.6713358387427477E-2</v>
      </c>
      <c r="E99" s="39">
        <f t="shared" si="17"/>
        <v>5</v>
      </c>
      <c r="F99" s="20">
        <f t="shared" si="18"/>
        <v>2195.25</v>
      </c>
      <c r="G99" s="20">
        <f t="shared" si="19"/>
        <v>2070.75</v>
      </c>
    </row>
    <row r="100" spans="1:7" ht="15" customHeight="1" x14ac:dyDescent="0.3">
      <c r="A100" s="31" t="s">
        <v>107</v>
      </c>
      <c r="B100" s="25">
        <v>1000.4</v>
      </c>
      <c r="C100" s="25">
        <v>1130.0999999999999</v>
      </c>
      <c r="D100" s="26">
        <f t="shared" si="16"/>
        <v>0.12964814074370246</v>
      </c>
      <c r="E100" s="40">
        <f t="shared" si="17"/>
        <v>2</v>
      </c>
      <c r="F100" s="25">
        <f t="shared" si="18"/>
        <v>2000.8</v>
      </c>
      <c r="G100" s="25">
        <f t="shared" si="19"/>
        <v>2260.1999999999998</v>
      </c>
    </row>
    <row r="101" spans="1:7" ht="15" customHeight="1" x14ac:dyDescent="0.3">
      <c r="A101" s="29" t="s">
        <v>109</v>
      </c>
      <c r="B101" s="20">
        <v>2031.5</v>
      </c>
      <c r="C101" s="20">
        <v>2365.6</v>
      </c>
      <c r="D101" s="21">
        <f t="shared" si="16"/>
        <v>0.164459758798917</v>
      </c>
      <c r="E101" s="39">
        <f t="shared" si="17"/>
        <v>1</v>
      </c>
      <c r="F101" s="20">
        <f t="shared" si="18"/>
        <v>2031.5</v>
      </c>
      <c r="G101" s="20">
        <f t="shared" si="19"/>
        <v>2365.6</v>
      </c>
    </row>
    <row r="102" spans="1:7" ht="15" customHeight="1" x14ac:dyDescent="0.3">
      <c r="A102" s="41" t="s">
        <v>75</v>
      </c>
      <c r="B102" s="42"/>
      <c r="C102" s="42"/>
      <c r="D102" s="42"/>
      <c r="E102" s="42"/>
      <c r="F102" s="43">
        <f>SUM(F91:F101)</f>
        <v>22506.789999999997</v>
      </c>
      <c r="G102" s="43">
        <f>SUM(G91:G101)</f>
        <v>22921.06</v>
      </c>
    </row>
    <row r="104" spans="1:7" ht="39.75" customHeight="1" x14ac:dyDescent="0.3">
      <c r="A104" s="5" t="s">
        <v>93</v>
      </c>
      <c r="B104" s="5"/>
      <c r="C104" s="5"/>
      <c r="D104" s="5"/>
      <c r="E104" s="5"/>
      <c r="F104" s="5"/>
      <c r="G104" s="5"/>
    </row>
  </sheetData>
  <mergeCells count="48">
    <mergeCell ref="B87:C87"/>
    <mergeCell ref="D87:E87"/>
    <mergeCell ref="F87:G87"/>
    <mergeCell ref="A89:G89"/>
    <mergeCell ref="A104:G104"/>
    <mergeCell ref="A69:G69"/>
    <mergeCell ref="A84:G84"/>
    <mergeCell ref="A85:G85"/>
    <mergeCell ref="B86:C86"/>
    <mergeCell ref="D86:E86"/>
    <mergeCell ref="F86:G86"/>
    <mergeCell ref="A65:G65"/>
    <mergeCell ref="B66:C66"/>
    <mergeCell ref="D66:E66"/>
    <mergeCell ref="F66:G66"/>
    <mergeCell ref="B67:C67"/>
    <mergeCell ref="D67:E67"/>
    <mergeCell ref="F67:G67"/>
    <mergeCell ref="B47:C47"/>
    <mergeCell ref="D47:E47"/>
    <mergeCell ref="F47:G47"/>
    <mergeCell ref="A49:G49"/>
    <mergeCell ref="A64:G64"/>
    <mergeCell ref="A29:G29"/>
    <mergeCell ref="A44:G44"/>
    <mergeCell ref="A45:G45"/>
    <mergeCell ref="B46:C46"/>
    <mergeCell ref="D46:E46"/>
    <mergeCell ref="F46:G46"/>
    <mergeCell ref="A25:G25"/>
    <mergeCell ref="B26:C26"/>
    <mergeCell ref="D26:E26"/>
    <mergeCell ref="F26:G26"/>
    <mergeCell ref="B27:C27"/>
    <mergeCell ref="D27:E27"/>
    <mergeCell ref="F27:G27"/>
    <mergeCell ref="B7:C7"/>
    <mergeCell ref="D7:E7"/>
    <mergeCell ref="F7:G7"/>
    <mergeCell ref="A9:G9"/>
    <mergeCell ref="A24:G24"/>
    <mergeCell ref="A1:G1"/>
    <mergeCell ref="A2:G2"/>
    <mergeCell ref="A4:G4"/>
    <mergeCell ref="A5:G5"/>
    <mergeCell ref="B6:C6"/>
    <mergeCell ref="D6:E6"/>
    <mergeCell ref="F6:G6"/>
  </mergeCells>
  <conditionalFormatting sqref="F7">
    <cfRule type="cellIs" dxfId="49" priority="2" operator="greaterThanOrEqual">
      <formula>0</formula>
    </cfRule>
    <cfRule type="cellIs" dxfId="48" priority="3" operator="lessThan">
      <formula>0</formula>
    </cfRule>
  </conditionalFormatting>
  <conditionalFormatting sqref="F27">
    <cfRule type="cellIs" dxfId="47" priority="4" operator="greaterThanOrEqual">
      <formula>0</formula>
    </cfRule>
    <cfRule type="cellIs" dxfId="46" priority="5" operator="lessThan">
      <formula>0</formula>
    </cfRule>
  </conditionalFormatting>
  <conditionalFormatting sqref="F47">
    <cfRule type="cellIs" dxfId="45" priority="6" operator="greaterThanOrEqual">
      <formula>0</formula>
    </cfRule>
    <cfRule type="cellIs" dxfId="44" priority="7" operator="lessThan">
      <formula>0</formula>
    </cfRule>
  </conditionalFormatting>
  <conditionalFormatting sqref="F67">
    <cfRule type="cellIs" dxfId="43" priority="8" operator="greaterThanOrEqual">
      <formula>0</formula>
    </cfRule>
    <cfRule type="cellIs" dxfId="42" priority="9" operator="lessThan">
      <formula>0</formula>
    </cfRule>
  </conditionalFormatting>
  <conditionalFormatting sqref="F87">
    <cfRule type="cellIs" dxfId="41" priority="10" operator="greaterThanOrEqual">
      <formula>0</formula>
    </cfRule>
    <cfRule type="cellIs" dxfId="4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4"/>
  <sheetViews>
    <sheetView showGridLines="0" zoomScaleNormal="100" workbookViewId="0">
      <pane ySplit="3" topLeftCell="A4" activePane="bottomLeft" state="frozen"/>
      <selection pane="bottomLeft" activeCell="D12" sqref="D12"/>
    </sheetView>
  </sheetViews>
  <sheetFormatPr defaultColWidth="8.6640625" defaultRowHeight="14.4" x14ac:dyDescent="0.3"/>
  <cols>
    <col min="1" max="1" width="34" customWidth="1"/>
    <col min="2" max="3" width="15" customWidth="1"/>
    <col min="4" max="4" width="11" customWidth="1"/>
    <col min="5" max="5" width="12" customWidth="1"/>
    <col min="6" max="7" width="16" customWidth="1"/>
    <col min="9" max="9" width="40" customWidth="1"/>
  </cols>
  <sheetData>
    <row r="1" spans="1:11" ht="25.5" customHeight="1" x14ac:dyDescent="0.3">
      <c r="A1" s="12" t="s">
        <v>124</v>
      </c>
      <c r="B1" s="12"/>
      <c r="C1" s="12"/>
      <c r="D1" s="12"/>
      <c r="E1" s="12"/>
      <c r="F1" s="12"/>
      <c r="G1" s="12"/>
    </row>
    <row r="2" spans="1:11" ht="15.75" customHeight="1" x14ac:dyDescent="0.3">
      <c r="A2" s="11" t="s">
        <v>188</v>
      </c>
      <c r="B2" s="11"/>
      <c r="C2" s="11"/>
      <c r="D2" s="11"/>
      <c r="E2" s="11"/>
      <c r="F2" s="11"/>
      <c r="G2" s="11"/>
    </row>
    <row r="4" spans="1:11" ht="18" customHeight="1" x14ac:dyDescent="0.3">
      <c r="A4" s="10" t="s">
        <v>48</v>
      </c>
      <c r="B4" s="10"/>
      <c r="C4" s="10"/>
      <c r="D4" s="10"/>
      <c r="E4" s="10"/>
      <c r="F4" s="10"/>
      <c r="G4" s="10"/>
      <c r="I4" s="33" t="s">
        <v>49</v>
      </c>
    </row>
    <row r="5" spans="1:11" ht="15" customHeight="1" x14ac:dyDescent="0.3">
      <c r="A5" s="9" t="s">
        <v>125</v>
      </c>
      <c r="B5" s="9"/>
      <c r="C5" s="9"/>
      <c r="D5" s="9"/>
      <c r="E5" s="9"/>
      <c r="F5" s="9"/>
      <c r="G5" s="9"/>
      <c r="I5" s="44" t="s">
        <v>126</v>
      </c>
    </row>
    <row r="6" spans="1:11" ht="15.75" customHeight="1" x14ac:dyDescent="0.3">
      <c r="A6" s="36" t="s">
        <v>19</v>
      </c>
      <c r="B6" s="8" t="s">
        <v>52</v>
      </c>
      <c r="C6" s="8"/>
      <c r="D6" s="8" t="s">
        <v>53</v>
      </c>
      <c r="E6" s="8"/>
      <c r="F6" s="8" t="s">
        <v>54</v>
      </c>
      <c r="G6" s="8"/>
      <c r="I6" s="34" t="s">
        <v>127</v>
      </c>
    </row>
    <row r="7" spans="1:11" ht="21.75" customHeight="1" x14ac:dyDescent="0.3">
      <c r="A7" s="37">
        <f>COUNT(B11:B19)</f>
        <v>9</v>
      </c>
      <c r="B7" s="7">
        <f>F20</f>
        <v>1153084</v>
      </c>
      <c r="C7" s="7"/>
      <c r="D7" s="7">
        <f>G20</f>
        <v>1169232.5</v>
      </c>
      <c r="E7" s="7"/>
      <c r="F7" s="6">
        <f>(G20-F20)/F20</f>
        <v>1.4004617183136701E-2</v>
      </c>
      <c r="G7" s="6"/>
      <c r="I7" s="34" t="s">
        <v>128</v>
      </c>
      <c r="K7" s="35"/>
    </row>
    <row r="8" spans="1:11" ht="14.25" customHeight="1" x14ac:dyDescent="0.3">
      <c r="I8" s="34" t="s">
        <v>129</v>
      </c>
      <c r="K8" s="35"/>
    </row>
    <row r="9" spans="1:11" ht="18" customHeight="1" x14ac:dyDescent="0.3">
      <c r="A9" s="10" t="s">
        <v>57</v>
      </c>
      <c r="B9" s="10"/>
      <c r="C9" s="10"/>
      <c r="D9" s="10"/>
      <c r="E9" s="10"/>
      <c r="F9" s="10"/>
      <c r="G9" s="10"/>
      <c r="I9" s="34" t="s">
        <v>130</v>
      </c>
    </row>
    <row r="10" spans="1:11" ht="15" customHeight="1" x14ac:dyDescent="0.3">
      <c r="A10" s="36" t="s">
        <v>58</v>
      </c>
      <c r="B10" s="36" t="s">
        <v>59</v>
      </c>
      <c r="C10" s="36" t="s">
        <v>60</v>
      </c>
      <c r="D10" s="36" t="s">
        <v>61</v>
      </c>
      <c r="E10" s="36" t="s">
        <v>62</v>
      </c>
      <c r="F10" s="36" t="s">
        <v>63</v>
      </c>
      <c r="G10" s="36" t="s">
        <v>53</v>
      </c>
      <c r="I10" s="34" t="s">
        <v>131</v>
      </c>
      <c r="K10" s="35"/>
    </row>
    <row r="11" spans="1:11" ht="15" customHeight="1" x14ac:dyDescent="0.3">
      <c r="A11" s="29" t="s">
        <v>132</v>
      </c>
      <c r="B11" s="20">
        <v>58.9</v>
      </c>
      <c r="C11" s="20">
        <v>56.87</v>
      </c>
      <c r="D11" s="21">
        <f t="shared" ref="D11:D19" si="0">(C11-B11)/B11</f>
        <v>-3.4465195246179983E-2</v>
      </c>
      <c r="E11" s="39">
        <f t="shared" ref="E11:E19" si="1">ROUND($B$19/B11,0)</f>
        <v>2170</v>
      </c>
      <c r="F11" s="20">
        <f t="shared" ref="F11:F19" si="2">B11*E11</f>
        <v>127813</v>
      </c>
      <c r="G11" s="20">
        <f t="shared" ref="G11:G19" si="3">C11*E11</f>
        <v>123407.9</v>
      </c>
      <c r="I11" s="38" t="s">
        <v>133</v>
      </c>
      <c r="K11" s="35"/>
    </row>
    <row r="12" spans="1:11" ht="15" customHeight="1" x14ac:dyDescent="0.3">
      <c r="A12" s="31" t="s">
        <v>134</v>
      </c>
      <c r="B12" s="25">
        <v>363.5</v>
      </c>
      <c r="C12" s="25">
        <v>360.95</v>
      </c>
      <c r="D12" s="26">
        <f t="shared" si="0"/>
        <v>-7.015130674002782E-3</v>
      </c>
      <c r="E12" s="40">
        <f t="shared" si="1"/>
        <v>352</v>
      </c>
      <c r="F12" s="25">
        <f t="shared" si="2"/>
        <v>127952</v>
      </c>
      <c r="G12" s="25">
        <f t="shared" si="3"/>
        <v>127054.39999999999</v>
      </c>
      <c r="K12" s="35"/>
    </row>
    <row r="13" spans="1:11" ht="15" customHeight="1" x14ac:dyDescent="0.3">
      <c r="A13" s="29" t="s">
        <v>135</v>
      </c>
      <c r="B13" s="20">
        <v>1701</v>
      </c>
      <c r="C13" s="20">
        <v>1778.9</v>
      </c>
      <c r="D13" s="21">
        <f t="shared" si="0"/>
        <v>4.5796590241034739E-2</v>
      </c>
      <c r="E13" s="39">
        <f t="shared" si="1"/>
        <v>75</v>
      </c>
      <c r="F13" s="20">
        <f t="shared" si="2"/>
        <v>127575</v>
      </c>
      <c r="G13" s="20">
        <f t="shared" si="3"/>
        <v>133417.5</v>
      </c>
      <c r="K13" s="35"/>
    </row>
    <row r="14" spans="1:11" ht="15" customHeight="1" x14ac:dyDescent="0.3">
      <c r="A14" s="31" t="s">
        <v>136</v>
      </c>
      <c r="B14" s="25">
        <v>2173.1</v>
      </c>
      <c r="C14" s="25">
        <v>2170.1</v>
      </c>
      <c r="D14" s="26">
        <f t="shared" si="0"/>
        <v>-1.3805163131010998E-3</v>
      </c>
      <c r="E14" s="40">
        <f t="shared" si="1"/>
        <v>59</v>
      </c>
      <c r="F14" s="25">
        <f t="shared" si="2"/>
        <v>128212.9</v>
      </c>
      <c r="G14" s="25">
        <f t="shared" si="3"/>
        <v>128035.9</v>
      </c>
      <c r="K14" s="35"/>
    </row>
    <row r="15" spans="1:11" ht="15" customHeight="1" x14ac:dyDescent="0.3">
      <c r="A15" s="29" t="s">
        <v>67</v>
      </c>
      <c r="B15" s="20">
        <v>2204.3000000000002</v>
      </c>
      <c r="C15" s="20">
        <v>2211</v>
      </c>
      <c r="D15" s="21">
        <f t="shared" si="0"/>
        <v>3.0395136778114673E-3</v>
      </c>
      <c r="E15" s="39">
        <f t="shared" si="1"/>
        <v>58</v>
      </c>
      <c r="F15" s="20">
        <f t="shared" si="2"/>
        <v>127849.40000000001</v>
      </c>
      <c r="G15" s="20">
        <f t="shared" si="3"/>
        <v>128238</v>
      </c>
      <c r="K15" s="35"/>
    </row>
    <row r="16" spans="1:11" ht="15" customHeight="1" x14ac:dyDescent="0.3">
      <c r="A16" s="31" t="s">
        <v>110</v>
      </c>
      <c r="B16" s="25">
        <v>2935.9</v>
      </c>
      <c r="C16" s="25">
        <v>2964.9</v>
      </c>
      <c r="D16" s="26">
        <f t="shared" si="0"/>
        <v>9.877720630811675E-3</v>
      </c>
      <c r="E16" s="40">
        <f t="shared" si="1"/>
        <v>44</v>
      </c>
      <c r="F16" s="25">
        <f t="shared" si="2"/>
        <v>129179.6</v>
      </c>
      <c r="G16" s="25">
        <f t="shared" si="3"/>
        <v>130455.6</v>
      </c>
    </row>
    <row r="17" spans="1:7" ht="15" customHeight="1" x14ac:dyDescent="0.3">
      <c r="A17" s="29" t="s">
        <v>71</v>
      </c>
      <c r="B17" s="20">
        <v>4794.3</v>
      </c>
      <c r="C17" s="20">
        <v>4852.6000000000004</v>
      </c>
      <c r="D17" s="21">
        <f t="shared" si="0"/>
        <v>1.2160273658302604E-2</v>
      </c>
      <c r="E17" s="39">
        <f t="shared" si="1"/>
        <v>27</v>
      </c>
      <c r="F17" s="20">
        <f t="shared" si="2"/>
        <v>129446.1</v>
      </c>
      <c r="G17" s="20">
        <f t="shared" si="3"/>
        <v>131020.20000000001</v>
      </c>
    </row>
    <row r="18" spans="1:7" ht="15" customHeight="1" x14ac:dyDescent="0.3">
      <c r="A18" s="31" t="s">
        <v>137</v>
      </c>
      <c r="B18" s="25">
        <v>10603</v>
      </c>
      <c r="C18" s="25">
        <v>11079</v>
      </c>
      <c r="D18" s="26">
        <f t="shared" si="0"/>
        <v>4.4892954824106386E-2</v>
      </c>
      <c r="E18" s="40">
        <f t="shared" si="1"/>
        <v>12</v>
      </c>
      <c r="F18" s="25">
        <f t="shared" si="2"/>
        <v>127236</v>
      </c>
      <c r="G18" s="25">
        <f t="shared" si="3"/>
        <v>132948</v>
      </c>
    </row>
    <row r="19" spans="1:7" ht="15" customHeight="1" x14ac:dyDescent="0.3">
      <c r="A19" s="29" t="s">
        <v>138</v>
      </c>
      <c r="B19" s="20">
        <v>127820</v>
      </c>
      <c r="C19" s="20">
        <v>134655</v>
      </c>
      <c r="D19" s="21">
        <f t="shared" si="0"/>
        <v>5.3473634798936007E-2</v>
      </c>
      <c r="E19" s="39">
        <f t="shared" si="1"/>
        <v>1</v>
      </c>
      <c r="F19" s="20">
        <f t="shared" si="2"/>
        <v>127820</v>
      </c>
      <c r="G19" s="20">
        <f t="shared" si="3"/>
        <v>134655</v>
      </c>
    </row>
    <row r="20" spans="1:7" ht="15" customHeight="1" x14ac:dyDescent="0.3">
      <c r="A20" s="41" t="s">
        <v>75</v>
      </c>
      <c r="B20" s="42"/>
      <c r="C20" s="42"/>
      <c r="D20" s="42"/>
      <c r="E20" s="42"/>
      <c r="F20" s="43">
        <f>SUM(F11:F19)</f>
        <v>1153084</v>
      </c>
      <c r="G20" s="43">
        <f>SUM(G11:G19)</f>
        <v>1169232.5</v>
      </c>
    </row>
    <row r="22" spans="1:7" ht="18" customHeight="1" x14ac:dyDescent="0.3">
      <c r="A22" s="10" t="s">
        <v>76</v>
      </c>
      <c r="B22" s="10"/>
      <c r="C22" s="10"/>
      <c r="D22" s="10"/>
      <c r="E22" s="10"/>
      <c r="F22" s="10"/>
      <c r="G22" s="10"/>
    </row>
    <row r="23" spans="1:7" ht="15" customHeight="1" x14ac:dyDescent="0.3">
      <c r="A23" s="9" t="s">
        <v>77</v>
      </c>
      <c r="B23" s="9"/>
      <c r="C23" s="9"/>
      <c r="D23" s="9"/>
      <c r="E23" s="9"/>
      <c r="F23" s="9"/>
      <c r="G23" s="9"/>
    </row>
    <row r="24" spans="1:7" ht="15.75" customHeight="1" x14ac:dyDescent="0.3">
      <c r="A24" s="36" t="s">
        <v>19</v>
      </c>
      <c r="B24" s="8" t="s">
        <v>52</v>
      </c>
      <c r="C24" s="8"/>
      <c r="D24" s="8" t="s">
        <v>53</v>
      </c>
      <c r="E24" s="8"/>
      <c r="F24" s="8" t="s">
        <v>78</v>
      </c>
      <c r="G24" s="8"/>
    </row>
    <row r="25" spans="1:7" ht="21.75" customHeight="1" x14ac:dyDescent="0.3">
      <c r="A25" s="37">
        <f>COUNT(B29:B37)</f>
        <v>9</v>
      </c>
      <c r="B25" s="7">
        <f>F38</f>
        <v>1153084</v>
      </c>
      <c r="C25" s="7"/>
      <c r="D25" s="7">
        <f>G38</f>
        <v>1162127.7</v>
      </c>
      <c r="E25" s="7"/>
      <c r="F25" s="6">
        <f>(G38-F38)/F38</f>
        <v>7.8430539318904372E-3</v>
      </c>
      <c r="G25" s="6"/>
    </row>
    <row r="27" spans="1:7" ht="18" customHeight="1" x14ac:dyDescent="0.3">
      <c r="A27" s="10" t="s">
        <v>79</v>
      </c>
      <c r="B27" s="10"/>
      <c r="C27" s="10"/>
      <c r="D27" s="10"/>
      <c r="E27" s="10"/>
      <c r="F27" s="10"/>
      <c r="G27" s="10"/>
    </row>
    <row r="28" spans="1:7" ht="15" customHeight="1" x14ac:dyDescent="0.3">
      <c r="A28" s="36" t="s">
        <v>58</v>
      </c>
      <c r="B28" s="36" t="s">
        <v>59</v>
      </c>
      <c r="C28" s="36" t="s">
        <v>80</v>
      </c>
      <c r="D28" s="36" t="s">
        <v>61</v>
      </c>
      <c r="E28" s="36" t="s">
        <v>62</v>
      </c>
      <c r="F28" s="36" t="s">
        <v>63</v>
      </c>
      <c r="G28" s="36" t="s">
        <v>53</v>
      </c>
    </row>
    <row r="29" spans="1:7" ht="15" customHeight="1" x14ac:dyDescent="0.3">
      <c r="A29" s="29" t="s">
        <v>132</v>
      </c>
      <c r="B29" s="20">
        <v>58.9</v>
      </c>
      <c r="C29" s="20">
        <v>53.92</v>
      </c>
      <c r="D29" s="21">
        <f t="shared" ref="D29:D37" si="4">(C29-B29)/B29</f>
        <v>-8.4550084889643412E-2</v>
      </c>
      <c r="E29" s="39">
        <f t="shared" ref="E29:E37" si="5">ROUND($B$19/B29,0)</f>
        <v>2170</v>
      </c>
      <c r="F29" s="20">
        <f t="shared" ref="F29:F37" si="6">B29*E29</f>
        <v>127813</v>
      </c>
      <c r="G29" s="20">
        <f t="shared" ref="G29:G37" si="7">C29*E29</f>
        <v>117006.40000000001</v>
      </c>
    </row>
    <row r="30" spans="1:7" ht="15" customHeight="1" x14ac:dyDescent="0.3">
      <c r="A30" s="31" t="s">
        <v>134</v>
      </c>
      <c r="B30" s="25">
        <v>363.5</v>
      </c>
      <c r="C30" s="25">
        <v>365</v>
      </c>
      <c r="D30" s="26">
        <f t="shared" si="4"/>
        <v>4.1265474552957355E-3</v>
      </c>
      <c r="E30" s="40">
        <f t="shared" si="5"/>
        <v>352</v>
      </c>
      <c r="F30" s="25">
        <f t="shared" si="6"/>
        <v>127952</v>
      </c>
      <c r="G30" s="25">
        <f t="shared" si="7"/>
        <v>128480</v>
      </c>
    </row>
    <row r="31" spans="1:7" ht="15" customHeight="1" x14ac:dyDescent="0.3">
      <c r="A31" s="29" t="s">
        <v>135</v>
      </c>
      <c r="B31" s="20">
        <v>1701</v>
      </c>
      <c r="C31" s="20">
        <v>1787.9</v>
      </c>
      <c r="D31" s="21">
        <f t="shared" si="4"/>
        <v>5.108759553204003E-2</v>
      </c>
      <c r="E31" s="39">
        <f t="shared" si="5"/>
        <v>75</v>
      </c>
      <c r="F31" s="20">
        <f t="shared" si="6"/>
        <v>127575</v>
      </c>
      <c r="G31" s="20">
        <f t="shared" si="7"/>
        <v>134092.5</v>
      </c>
    </row>
    <row r="32" spans="1:7" ht="15" customHeight="1" x14ac:dyDescent="0.3">
      <c r="A32" s="31" t="s">
        <v>136</v>
      </c>
      <c r="B32" s="25">
        <v>2173.1</v>
      </c>
      <c r="C32" s="25">
        <v>2115.3000000000002</v>
      </c>
      <c r="D32" s="26">
        <f t="shared" si="4"/>
        <v>-2.6597947632414399E-2</v>
      </c>
      <c r="E32" s="40">
        <f t="shared" si="5"/>
        <v>59</v>
      </c>
      <c r="F32" s="25">
        <f t="shared" si="6"/>
        <v>128212.9</v>
      </c>
      <c r="G32" s="25">
        <f t="shared" si="7"/>
        <v>124802.70000000001</v>
      </c>
    </row>
    <row r="33" spans="1:7" ht="15" customHeight="1" x14ac:dyDescent="0.3">
      <c r="A33" s="29" t="s">
        <v>67</v>
      </c>
      <c r="B33" s="20">
        <v>2204.3000000000002</v>
      </c>
      <c r="C33" s="20">
        <v>2282.9</v>
      </c>
      <c r="D33" s="21">
        <f t="shared" si="4"/>
        <v>3.5657578369550379E-2</v>
      </c>
      <c r="E33" s="39">
        <f t="shared" si="5"/>
        <v>58</v>
      </c>
      <c r="F33" s="20">
        <f t="shared" si="6"/>
        <v>127849.40000000001</v>
      </c>
      <c r="G33" s="20">
        <f t="shared" si="7"/>
        <v>132408.20000000001</v>
      </c>
    </row>
    <row r="34" spans="1:7" ht="15" customHeight="1" x14ac:dyDescent="0.3">
      <c r="A34" s="31" t="s">
        <v>110</v>
      </c>
      <c r="B34" s="25">
        <v>2935.9</v>
      </c>
      <c r="C34" s="25">
        <v>2941.8</v>
      </c>
      <c r="D34" s="26">
        <f t="shared" si="4"/>
        <v>2.0096052317858546E-3</v>
      </c>
      <c r="E34" s="40">
        <f t="shared" si="5"/>
        <v>44</v>
      </c>
      <c r="F34" s="25">
        <f t="shared" si="6"/>
        <v>129179.6</v>
      </c>
      <c r="G34" s="25">
        <f t="shared" si="7"/>
        <v>129439.20000000001</v>
      </c>
    </row>
    <row r="35" spans="1:7" ht="15" customHeight="1" x14ac:dyDescent="0.3">
      <c r="A35" s="29" t="s">
        <v>71</v>
      </c>
      <c r="B35" s="20">
        <v>4794.3</v>
      </c>
      <c r="C35" s="20">
        <v>4949.1000000000004</v>
      </c>
      <c r="D35" s="21">
        <f t="shared" si="4"/>
        <v>3.2288342406607884E-2</v>
      </c>
      <c r="E35" s="39">
        <f t="shared" si="5"/>
        <v>27</v>
      </c>
      <c r="F35" s="20">
        <f t="shared" si="6"/>
        <v>129446.1</v>
      </c>
      <c r="G35" s="20">
        <f t="shared" si="7"/>
        <v>133625.70000000001</v>
      </c>
    </row>
    <row r="36" spans="1:7" ht="15" customHeight="1" x14ac:dyDescent="0.3">
      <c r="A36" s="31" t="s">
        <v>137</v>
      </c>
      <c r="B36" s="25">
        <v>10603</v>
      </c>
      <c r="C36" s="25">
        <v>10654</v>
      </c>
      <c r="D36" s="26">
        <f t="shared" si="4"/>
        <v>4.8099594454399696E-3</v>
      </c>
      <c r="E36" s="40">
        <f t="shared" si="5"/>
        <v>12</v>
      </c>
      <c r="F36" s="25">
        <f t="shared" si="6"/>
        <v>127236</v>
      </c>
      <c r="G36" s="25">
        <f t="shared" si="7"/>
        <v>127848</v>
      </c>
    </row>
    <row r="37" spans="1:7" ht="15" customHeight="1" x14ac:dyDescent="0.3">
      <c r="A37" s="29" t="s">
        <v>138</v>
      </c>
      <c r="B37" s="20">
        <v>127820</v>
      </c>
      <c r="C37" s="20">
        <v>134425</v>
      </c>
      <c r="D37" s="21">
        <f t="shared" si="4"/>
        <v>5.167422938507276E-2</v>
      </c>
      <c r="E37" s="39">
        <f t="shared" si="5"/>
        <v>1</v>
      </c>
      <c r="F37" s="20">
        <f t="shared" si="6"/>
        <v>127820</v>
      </c>
      <c r="G37" s="20">
        <f t="shared" si="7"/>
        <v>134425</v>
      </c>
    </row>
    <row r="38" spans="1:7" ht="15" customHeight="1" x14ac:dyDescent="0.3">
      <c r="A38" s="41" t="s">
        <v>75</v>
      </c>
      <c r="B38" s="42"/>
      <c r="C38" s="42"/>
      <c r="D38" s="42"/>
      <c r="E38" s="42"/>
      <c r="F38" s="43">
        <f>SUM(F29:F37)</f>
        <v>1153084</v>
      </c>
      <c r="G38" s="43">
        <f>SUM(G29:G37)</f>
        <v>1162127.7</v>
      </c>
    </row>
    <row r="40" spans="1:7" ht="18" customHeight="1" x14ac:dyDescent="0.3">
      <c r="A40" s="10" t="s">
        <v>81</v>
      </c>
      <c r="B40" s="10"/>
      <c r="C40" s="10"/>
      <c r="D40" s="10"/>
      <c r="E40" s="10"/>
      <c r="F40" s="10"/>
      <c r="G40" s="10"/>
    </row>
    <row r="41" spans="1:7" ht="15" customHeight="1" x14ac:dyDescent="0.3">
      <c r="A41" s="9" t="s">
        <v>77</v>
      </c>
      <c r="B41" s="9"/>
      <c r="C41" s="9"/>
      <c r="D41" s="9"/>
      <c r="E41" s="9"/>
      <c r="F41" s="9"/>
      <c r="G41" s="9"/>
    </row>
    <row r="42" spans="1:7" ht="15.75" customHeight="1" x14ac:dyDescent="0.3">
      <c r="A42" s="36" t="s">
        <v>19</v>
      </c>
      <c r="B42" s="8" t="s">
        <v>52</v>
      </c>
      <c r="C42" s="8"/>
      <c r="D42" s="8" t="s">
        <v>53</v>
      </c>
      <c r="E42" s="8"/>
      <c r="F42" s="8" t="s">
        <v>82</v>
      </c>
      <c r="G42" s="8"/>
    </row>
    <row r="43" spans="1:7" ht="21.75" customHeight="1" x14ac:dyDescent="0.3">
      <c r="A43" s="37">
        <f>COUNT(B47:B55)</f>
        <v>9</v>
      </c>
      <c r="B43" s="7">
        <f>F56</f>
        <v>1153084</v>
      </c>
      <c r="C43" s="7"/>
      <c r="D43" s="7">
        <f>G56</f>
        <v>1154196.7</v>
      </c>
      <c r="E43" s="7"/>
      <c r="F43" s="6">
        <f>(G56-F56)/F56</f>
        <v>9.6497739973840015E-4</v>
      </c>
      <c r="G43" s="6"/>
    </row>
    <row r="45" spans="1:7" ht="18" customHeight="1" x14ac:dyDescent="0.3">
      <c r="A45" s="10" t="s">
        <v>83</v>
      </c>
      <c r="B45" s="10"/>
      <c r="C45" s="10"/>
      <c r="D45" s="10"/>
      <c r="E45" s="10"/>
      <c r="F45" s="10"/>
      <c r="G45" s="10"/>
    </row>
    <row r="46" spans="1:7" ht="15" customHeight="1" x14ac:dyDescent="0.3">
      <c r="A46" s="36" t="s">
        <v>58</v>
      </c>
      <c r="B46" s="36" t="s">
        <v>59</v>
      </c>
      <c r="C46" s="36" t="s">
        <v>84</v>
      </c>
      <c r="D46" s="36" t="s">
        <v>61</v>
      </c>
      <c r="E46" s="36" t="s">
        <v>62</v>
      </c>
      <c r="F46" s="36" t="s">
        <v>63</v>
      </c>
      <c r="G46" s="36" t="s">
        <v>53</v>
      </c>
    </row>
    <row r="47" spans="1:7" ht="15" customHeight="1" x14ac:dyDescent="0.3">
      <c r="A47" s="29" t="s">
        <v>132</v>
      </c>
      <c r="B47" s="20">
        <v>58.9</v>
      </c>
      <c r="C47" s="20">
        <v>51.99</v>
      </c>
      <c r="D47" s="21">
        <f t="shared" ref="D47:D55" si="8">(C47-B47)/B47</f>
        <v>-0.11731748726655343</v>
      </c>
      <c r="E47" s="39">
        <f t="shared" ref="E47:E55" si="9">ROUND($B$19/B47,0)</f>
        <v>2170</v>
      </c>
      <c r="F47" s="20">
        <f t="shared" ref="F47:F55" si="10">B47*E47</f>
        <v>127813</v>
      </c>
      <c r="G47" s="20">
        <f t="shared" ref="G47:G55" si="11">C47*E47</f>
        <v>112818.3</v>
      </c>
    </row>
    <row r="48" spans="1:7" ht="15" customHeight="1" x14ac:dyDescent="0.3">
      <c r="A48" s="31" t="s">
        <v>134</v>
      </c>
      <c r="B48" s="25">
        <v>363.5</v>
      </c>
      <c r="C48" s="25">
        <v>362</v>
      </c>
      <c r="D48" s="26">
        <f t="shared" si="8"/>
        <v>-4.1265474552957355E-3</v>
      </c>
      <c r="E48" s="40">
        <f t="shared" si="9"/>
        <v>352</v>
      </c>
      <c r="F48" s="25">
        <f t="shared" si="10"/>
        <v>127952</v>
      </c>
      <c r="G48" s="25">
        <f t="shared" si="11"/>
        <v>127424</v>
      </c>
    </row>
    <row r="49" spans="1:7" ht="15" customHeight="1" x14ac:dyDescent="0.3">
      <c r="A49" s="29" t="s">
        <v>135</v>
      </c>
      <c r="B49" s="20">
        <v>1701</v>
      </c>
      <c r="C49" s="20">
        <v>1900.6</v>
      </c>
      <c r="D49" s="21">
        <f t="shared" si="8"/>
        <v>0.11734273956496173</v>
      </c>
      <c r="E49" s="39">
        <f t="shared" si="9"/>
        <v>75</v>
      </c>
      <c r="F49" s="20">
        <f t="shared" si="10"/>
        <v>127575</v>
      </c>
      <c r="G49" s="20">
        <f t="shared" si="11"/>
        <v>142545</v>
      </c>
    </row>
    <row r="50" spans="1:7" ht="15" customHeight="1" x14ac:dyDescent="0.3">
      <c r="A50" s="31" t="s">
        <v>136</v>
      </c>
      <c r="B50" s="25">
        <v>2173.1</v>
      </c>
      <c r="C50" s="25">
        <v>2109.9</v>
      </c>
      <c r="D50" s="26">
        <f t="shared" si="8"/>
        <v>-2.9082876995996421E-2</v>
      </c>
      <c r="E50" s="40">
        <f t="shared" si="9"/>
        <v>59</v>
      </c>
      <c r="F50" s="25">
        <f t="shared" si="10"/>
        <v>128212.9</v>
      </c>
      <c r="G50" s="25">
        <f t="shared" si="11"/>
        <v>124484.1</v>
      </c>
    </row>
    <row r="51" spans="1:7" ht="15" customHeight="1" x14ac:dyDescent="0.3">
      <c r="A51" s="29" t="s">
        <v>67</v>
      </c>
      <c r="B51" s="20">
        <v>2204.3000000000002</v>
      </c>
      <c r="C51" s="20">
        <v>2235.5</v>
      </c>
      <c r="D51" s="21">
        <f t="shared" si="8"/>
        <v>1.4154153245928329E-2</v>
      </c>
      <c r="E51" s="39">
        <f t="shared" si="9"/>
        <v>58</v>
      </c>
      <c r="F51" s="20">
        <f t="shared" si="10"/>
        <v>127849.40000000001</v>
      </c>
      <c r="G51" s="20">
        <f t="shared" si="11"/>
        <v>129659</v>
      </c>
    </row>
    <row r="52" spans="1:7" ht="15" customHeight="1" x14ac:dyDescent="0.3">
      <c r="A52" s="31" t="s">
        <v>110</v>
      </c>
      <c r="B52" s="25">
        <v>2935.9</v>
      </c>
      <c r="C52" s="25">
        <v>2937</v>
      </c>
      <c r="D52" s="26">
        <f t="shared" si="8"/>
        <v>3.7467216185834291E-4</v>
      </c>
      <c r="E52" s="40">
        <f t="shared" si="9"/>
        <v>44</v>
      </c>
      <c r="F52" s="25">
        <f t="shared" si="10"/>
        <v>129179.6</v>
      </c>
      <c r="G52" s="25">
        <f t="shared" si="11"/>
        <v>129228</v>
      </c>
    </row>
    <row r="53" spans="1:7" ht="15" customHeight="1" x14ac:dyDescent="0.3">
      <c r="A53" s="29" t="s">
        <v>71</v>
      </c>
      <c r="B53" s="20">
        <v>4794.3</v>
      </c>
      <c r="C53" s="20">
        <v>4909.8999999999996</v>
      </c>
      <c r="D53" s="21">
        <f t="shared" si="8"/>
        <v>2.411196629330652E-2</v>
      </c>
      <c r="E53" s="39">
        <f t="shared" si="9"/>
        <v>27</v>
      </c>
      <c r="F53" s="20">
        <f t="shared" si="10"/>
        <v>129446.1</v>
      </c>
      <c r="G53" s="20">
        <f t="shared" si="11"/>
        <v>132567.29999999999</v>
      </c>
    </row>
    <row r="54" spans="1:7" ht="15" customHeight="1" x14ac:dyDescent="0.3">
      <c r="A54" s="31" t="s">
        <v>137</v>
      </c>
      <c r="B54" s="25">
        <v>10603</v>
      </c>
      <c r="C54" s="25">
        <v>10398</v>
      </c>
      <c r="D54" s="26">
        <f t="shared" si="8"/>
        <v>-1.9334150712062625E-2</v>
      </c>
      <c r="E54" s="40">
        <f t="shared" si="9"/>
        <v>12</v>
      </c>
      <c r="F54" s="25">
        <f t="shared" si="10"/>
        <v>127236</v>
      </c>
      <c r="G54" s="25">
        <f t="shared" si="11"/>
        <v>124776</v>
      </c>
    </row>
    <row r="55" spans="1:7" ht="15" customHeight="1" x14ac:dyDescent="0.3">
      <c r="A55" s="29" t="s">
        <v>138</v>
      </c>
      <c r="B55" s="20">
        <v>127820</v>
      </c>
      <c r="C55" s="20">
        <v>130695</v>
      </c>
      <c r="D55" s="21">
        <f t="shared" si="8"/>
        <v>2.2492567673290564E-2</v>
      </c>
      <c r="E55" s="39">
        <f t="shared" si="9"/>
        <v>1</v>
      </c>
      <c r="F55" s="20">
        <f t="shared" si="10"/>
        <v>127820</v>
      </c>
      <c r="G55" s="20">
        <f t="shared" si="11"/>
        <v>130695</v>
      </c>
    </row>
    <row r="56" spans="1:7" ht="15" customHeight="1" x14ac:dyDescent="0.3">
      <c r="A56" s="41" t="s">
        <v>75</v>
      </c>
      <c r="B56" s="42"/>
      <c r="C56" s="42"/>
      <c r="D56" s="42"/>
      <c r="E56" s="42"/>
      <c r="F56" s="43">
        <f>SUM(F47:F55)</f>
        <v>1153084</v>
      </c>
      <c r="G56" s="43">
        <f>SUM(G47:G55)</f>
        <v>1154196.7</v>
      </c>
    </row>
    <row r="58" spans="1:7" ht="18" customHeight="1" x14ac:dyDescent="0.3">
      <c r="A58" s="10" t="s">
        <v>85</v>
      </c>
      <c r="B58" s="10"/>
      <c r="C58" s="10"/>
      <c r="D58" s="10"/>
      <c r="E58" s="10"/>
      <c r="F58" s="10"/>
      <c r="G58" s="10"/>
    </row>
    <row r="59" spans="1:7" ht="15" customHeight="1" x14ac:dyDescent="0.3">
      <c r="A59" s="9" t="s">
        <v>77</v>
      </c>
      <c r="B59" s="9"/>
      <c r="C59" s="9"/>
      <c r="D59" s="9"/>
      <c r="E59" s="9"/>
      <c r="F59" s="9"/>
      <c r="G59" s="9"/>
    </row>
    <row r="60" spans="1:7" ht="15.75" customHeight="1" x14ac:dyDescent="0.3">
      <c r="A60" s="36" t="s">
        <v>19</v>
      </c>
      <c r="B60" s="8" t="s">
        <v>52</v>
      </c>
      <c r="C60" s="8"/>
      <c r="D60" s="8" t="s">
        <v>53</v>
      </c>
      <c r="E60" s="8"/>
      <c r="F60" s="8" t="s">
        <v>86</v>
      </c>
      <c r="G60" s="8"/>
    </row>
    <row r="61" spans="1:7" ht="21.75" customHeight="1" x14ac:dyDescent="0.3">
      <c r="A61" s="37">
        <f>COUNT(B65:B73)</f>
        <v>9</v>
      </c>
      <c r="B61" s="7">
        <f>F74</f>
        <v>1153084</v>
      </c>
      <c r="C61" s="7"/>
      <c r="D61" s="7">
        <f>G74</f>
        <v>1146296.8999999999</v>
      </c>
      <c r="E61" s="7"/>
      <c r="F61" s="6">
        <f>(G74-F74)/F74</f>
        <v>-5.8860412597868785E-3</v>
      </c>
      <c r="G61" s="6"/>
    </row>
    <row r="63" spans="1:7" ht="18" customHeight="1" x14ac:dyDescent="0.3">
      <c r="A63" s="10" t="s">
        <v>87</v>
      </c>
      <c r="B63" s="10"/>
      <c r="C63" s="10"/>
      <c r="D63" s="10"/>
      <c r="E63" s="10"/>
      <c r="F63" s="10"/>
      <c r="G63" s="10"/>
    </row>
    <row r="64" spans="1:7" ht="15" customHeight="1" x14ac:dyDescent="0.3">
      <c r="A64" s="36" t="s">
        <v>58</v>
      </c>
      <c r="B64" s="36" t="s">
        <v>59</v>
      </c>
      <c r="C64" s="36" t="s">
        <v>88</v>
      </c>
      <c r="D64" s="36" t="s">
        <v>61</v>
      </c>
      <c r="E64" s="36" t="s">
        <v>62</v>
      </c>
      <c r="F64" s="36" t="s">
        <v>63</v>
      </c>
      <c r="G64" s="36" t="s">
        <v>53</v>
      </c>
    </row>
    <row r="65" spans="1:7" ht="15" customHeight="1" x14ac:dyDescent="0.3">
      <c r="A65" s="29" t="s">
        <v>132</v>
      </c>
      <c r="B65" s="20">
        <v>58.9</v>
      </c>
      <c r="C65" s="20">
        <v>52.28</v>
      </c>
      <c r="D65" s="21">
        <f t="shared" ref="D65:D73" si="12">(C65-B65)/B65</f>
        <v>-0.11239388794567058</v>
      </c>
      <c r="E65" s="39">
        <f t="shared" ref="E65:E73" si="13">ROUND($B$19/B65,0)</f>
        <v>2170</v>
      </c>
      <c r="F65" s="20">
        <f t="shared" ref="F65:F73" si="14">B65*E65</f>
        <v>127813</v>
      </c>
      <c r="G65" s="20">
        <f t="shared" ref="G65:G73" si="15">C65*E65</f>
        <v>113447.6</v>
      </c>
    </row>
    <row r="66" spans="1:7" ht="15" customHeight="1" x14ac:dyDescent="0.3">
      <c r="A66" s="31" t="s">
        <v>134</v>
      </c>
      <c r="B66" s="25">
        <v>363.5</v>
      </c>
      <c r="C66" s="25">
        <v>357.5</v>
      </c>
      <c r="D66" s="26">
        <f t="shared" si="12"/>
        <v>-1.6506189821182942E-2</v>
      </c>
      <c r="E66" s="40">
        <f t="shared" si="13"/>
        <v>352</v>
      </c>
      <c r="F66" s="25">
        <f t="shared" si="14"/>
        <v>127952</v>
      </c>
      <c r="G66" s="25">
        <f t="shared" si="15"/>
        <v>125840</v>
      </c>
    </row>
    <row r="67" spans="1:7" ht="15" customHeight="1" x14ac:dyDescent="0.3">
      <c r="A67" s="29" t="s">
        <v>135</v>
      </c>
      <c r="B67" s="20">
        <v>1701</v>
      </c>
      <c r="C67" s="20">
        <v>1762.7</v>
      </c>
      <c r="D67" s="21">
        <f t="shared" si="12"/>
        <v>3.6272780717225186E-2</v>
      </c>
      <c r="E67" s="39">
        <f t="shared" si="13"/>
        <v>75</v>
      </c>
      <c r="F67" s="20">
        <f t="shared" si="14"/>
        <v>127575</v>
      </c>
      <c r="G67" s="20">
        <f t="shared" si="15"/>
        <v>132202.5</v>
      </c>
    </row>
    <row r="68" spans="1:7" ht="15" customHeight="1" x14ac:dyDescent="0.3">
      <c r="A68" s="31" t="s">
        <v>136</v>
      </c>
      <c r="B68" s="25">
        <v>2173.1</v>
      </c>
      <c r="C68" s="25">
        <v>2129.6</v>
      </c>
      <c r="D68" s="26">
        <f t="shared" si="12"/>
        <v>-2.0017486539965948E-2</v>
      </c>
      <c r="E68" s="40">
        <f t="shared" si="13"/>
        <v>59</v>
      </c>
      <c r="F68" s="25">
        <f t="shared" si="14"/>
        <v>128212.9</v>
      </c>
      <c r="G68" s="25">
        <f t="shared" si="15"/>
        <v>125646.39999999999</v>
      </c>
    </row>
    <row r="69" spans="1:7" ht="15" customHeight="1" x14ac:dyDescent="0.3">
      <c r="A69" s="29" t="s">
        <v>67</v>
      </c>
      <c r="B69" s="20">
        <v>2204.3000000000002</v>
      </c>
      <c r="C69" s="20">
        <v>2192</v>
      </c>
      <c r="D69" s="21">
        <f t="shared" si="12"/>
        <v>-5.5800027219526293E-3</v>
      </c>
      <c r="E69" s="39">
        <f t="shared" si="13"/>
        <v>58</v>
      </c>
      <c r="F69" s="20">
        <f t="shared" si="14"/>
        <v>127849.40000000001</v>
      </c>
      <c r="G69" s="20">
        <f t="shared" si="15"/>
        <v>127136</v>
      </c>
    </row>
    <row r="70" spans="1:7" ht="15" customHeight="1" x14ac:dyDescent="0.3">
      <c r="A70" s="31" t="s">
        <v>110</v>
      </c>
      <c r="B70" s="25">
        <v>2935.9</v>
      </c>
      <c r="C70" s="25">
        <v>2905.1</v>
      </c>
      <c r="D70" s="26">
        <f t="shared" si="12"/>
        <v>-1.0490820532034531E-2</v>
      </c>
      <c r="E70" s="40">
        <f t="shared" si="13"/>
        <v>44</v>
      </c>
      <c r="F70" s="25">
        <f t="shared" si="14"/>
        <v>129179.6</v>
      </c>
      <c r="G70" s="25">
        <f t="shared" si="15"/>
        <v>127824.4</v>
      </c>
    </row>
    <row r="71" spans="1:7" ht="15" customHeight="1" x14ac:dyDescent="0.3">
      <c r="A71" s="29" t="s">
        <v>71</v>
      </c>
      <c r="B71" s="20">
        <v>4794.3</v>
      </c>
      <c r="C71" s="20">
        <v>5011</v>
      </c>
      <c r="D71" s="21">
        <f t="shared" si="12"/>
        <v>4.5199507748784978E-2</v>
      </c>
      <c r="E71" s="39">
        <f t="shared" si="13"/>
        <v>27</v>
      </c>
      <c r="F71" s="20">
        <f t="shared" si="14"/>
        <v>129446.1</v>
      </c>
      <c r="G71" s="20">
        <f t="shared" si="15"/>
        <v>135297</v>
      </c>
    </row>
    <row r="72" spans="1:7" ht="15" customHeight="1" x14ac:dyDescent="0.3">
      <c r="A72" s="31" t="s">
        <v>137</v>
      </c>
      <c r="B72" s="25">
        <v>10603</v>
      </c>
      <c r="C72" s="25">
        <v>10679</v>
      </c>
      <c r="D72" s="26">
        <f t="shared" si="12"/>
        <v>7.1677827030085821E-3</v>
      </c>
      <c r="E72" s="40">
        <f t="shared" si="13"/>
        <v>12</v>
      </c>
      <c r="F72" s="25">
        <f t="shared" si="14"/>
        <v>127236</v>
      </c>
      <c r="G72" s="25">
        <f t="shared" si="15"/>
        <v>128148</v>
      </c>
    </row>
    <row r="73" spans="1:7" ht="15" customHeight="1" x14ac:dyDescent="0.3">
      <c r="A73" s="29" t="s">
        <v>138</v>
      </c>
      <c r="B73" s="20">
        <v>127820</v>
      </c>
      <c r="C73" s="20">
        <v>130755</v>
      </c>
      <c r="D73" s="21">
        <f t="shared" si="12"/>
        <v>2.2961977781254889E-2</v>
      </c>
      <c r="E73" s="39">
        <f t="shared" si="13"/>
        <v>1</v>
      </c>
      <c r="F73" s="20">
        <f t="shared" si="14"/>
        <v>127820</v>
      </c>
      <c r="G73" s="20">
        <f t="shared" si="15"/>
        <v>130755</v>
      </c>
    </row>
    <row r="74" spans="1:7" ht="15" customHeight="1" x14ac:dyDescent="0.3">
      <c r="A74" s="41" t="s">
        <v>75</v>
      </c>
      <c r="B74" s="42"/>
      <c r="C74" s="42"/>
      <c r="D74" s="42"/>
      <c r="E74" s="42"/>
      <c r="F74" s="43">
        <f>SUM(F65:F73)</f>
        <v>1153084</v>
      </c>
      <c r="G74" s="43">
        <f>SUM(G65:G73)</f>
        <v>1146296.8999999999</v>
      </c>
    </row>
    <row r="76" spans="1:7" ht="18" customHeight="1" x14ac:dyDescent="0.3">
      <c r="A76" s="10" t="s">
        <v>89</v>
      </c>
      <c r="B76" s="10"/>
      <c r="C76" s="10"/>
      <c r="D76" s="10"/>
      <c r="E76" s="10"/>
      <c r="F76" s="10"/>
      <c r="G76" s="10"/>
    </row>
    <row r="77" spans="1:7" ht="15" customHeight="1" x14ac:dyDescent="0.3">
      <c r="A77" s="9" t="s">
        <v>77</v>
      </c>
      <c r="B77" s="9"/>
      <c r="C77" s="9"/>
      <c r="D77" s="9"/>
      <c r="E77" s="9"/>
      <c r="F77" s="9"/>
      <c r="G77" s="9"/>
    </row>
    <row r="78" spans="1:7" ht="15.75" customHeight="1" x14ac:dyDescent="0.3">
      <c r="A78" s="36" t="s">
        <v>19</v>
      </c>
      <c r="B78" s="8" t="s">
        <v>52</v>
      </c>
      <c r="C78" s="8"/>
      <c r="D78" s="8" t="s">
        <v>53</v>
      </c>
      <c r="E78" s="8"/>
      <c r="F78" s="8" t="s">
        <v>90</v>
      </c>
      <c r="G78" s="8"/>
    </row>
    <row r="79" spans="1:7" ht="21.75" customHeight="1" x14ac:dyDescent="0.3">
      <c r="A79" s="37">
        <f>COUNT(B83:B91)</f>
        <v>9</v>
      </c>
      <c r="B79" s="7">
        <f>F92</f>
        <v>1153084</v>
      </c>
      <c r="C79" s="7"/>
      <c r="D79" s="7">
        <f>G92</f>
        <v>1166318.7</v>
      </c>
      <c r="E79" s="7"/>
      <c r="F79" s="6">
        <f>(G92-F92)/F92</f>
        <v>1.1477654706855661E-2</v>
      </c>
      <c r="G79" s="6"/>
    </row>
    <row r="81" spans="1:7" ht="18" customHeight="1" x14ac:dyDescent="0.3">
      <c r="A81" s="10" t="s">
        <v>91</v>
      </c>
      <c r="B81" s="10"/>
      <c r="C81" s="10"/>
      <c r="D81" s="10"/>
      <c r="E81" s="10"/>
      <c r="F81" s="10"/>
      <c r="G81" s="10"/>
    </row>
    <row r="82" spans="1:7" ht="15" customHeight="1" x14ac:dyDescent="0.3">
      <c r="A82" s="36" t="s">
        <v>58</v>
      </c>
      <c r="B82" s="36" t="s">
        <v>59</v>
      </c>
      <c r="C82" s="36" t="s">
        <v>92</v>
      </c>
      <c r="D82" s="36" t="s">
        <v>61</v>
      </c>
      <c r="E82" s="36" t="s">
        <v>62</v>
      </c>
      <c r="F82" s="36" t="s">
        <v>63</v>
      </c>
      <c r="G82" s="36" t="s">
        <v>53</v>
      </c>
    </row>
    <row r="83" spans="1:7" ht="15" customHeight="1" x14ac:dyDescent="0.3">
      <c r="A83" s="29" t="s">
        <v>132</v>
      </c>
      <c r="B83" s="20">
        <v>58.9</v>
      </c>
      <c r="C83" s="20">
        <v>48.01</v>
      </c>
      <c r="D83" s="21">
        <f t="shared" ref="D83:D91" si="16">(C83-B83)/B83</f>
        <v>-0.18488964346349746</v>
      </c>
      <c r="E83" s="39">
        <f t="shared" ref="E83:E91" si="17">ROUND($B$19/B83,0)</f>
        <v>2170</v>
      </c>
      <c r="F83" s="20">
        <f t="shared" ref="F83:F91" si="18">B83*E83</f>
        <v>127813</v>
      </c>
      <c r="G83" s="20">
        <f t="shared" ref="G83:G91" si="19">C83*E83</f>
        <v>104181.7</v>
      </c>
    </row>
    <row r="84" spans="1:7" ht="15" customHeight="1" x14ac:dyDescent="0.3">
      <c r="A84" s="31" t="s">
        <v>134</v>
      </c>
      <c r="B84" s="25">
        <v>363.5</v>
      </c>
      <c r="C84" s="25">
        <v>356.6</v>
      </c>
      <c r="D84" s="26">
        <f t="shared" si="16"/>
        <v>-1.8982118294360324E-2</v>
      </c>
      <c r="E84" s="40">
        <f t="shared" si="17"/>
        <v>352</v>
      </c>
      <c r="F84" s="25">
        <f t="shared" si="18"/>
        <v>127952</v>
      </c>
      <c r="G84" s="25">
        <f t="shared" si="19"/>
        <v>125523.20000000001</v>
      </c>
    </row>
    <row r="85" spans="1:7" ht="15" customHeight="1" x14ac:dyDescent="0.3">
      <c r="A85" s="29" t="s">
        <v>135</v>
      </c>
      <c r="B85" s="20">
        <v>1701</v>
      </c>
      <c r="C85" s="20">
        <v>1747.8</v>
      </c>
      <c r="D85" s="21">
        <f t="shared" si="16"/>
        <v>2.7513227513227486E-2</v>
      </c>
      <c r="E85" s="39">
        <f t="shared" si="17"/>
        <v>75</v>
      </c>
      <c r="F85" s="20">
        <f t="shared" si="18"/>
        <v>127575</v>
      </c>
      <c r="G85" s="20">
        <f t="shared" si="19"/>
        <v>131085</v>
      </c>
    </row>
    <row r="86" spans="1:7" ht="15" customHeight="1" x14ac:dyDescent="0.3">
      <c r="A86" s="31" t="s">
        <v>136</v>
      </c>
      <c r="B86" s="25">
        <v>2173.1</v>
      </c>
      <c r="C86" s="25">
        <v>2133.4</v>
      </c>
      <c r="D86" s="26">
        <f t="shared" si="16"/>
        <v>-1.8268832543371138E-2</v>
      </c>
      <c r="E86" s="40">
        <f t="shared" si="17"/>
        <v>59</v>
      </c>
      <c r="F86" s="25">
        <f t="shared" si="18"/>
        <v>128212.9</v>
      </c>
      <c r="G86" s="25">
        <f t="shared" si="19"/>
        <v>125870.6</v>
      </c>
    </row>
    <row r="87" spans="1:7" ht="15" customHeight="1" x14ac:dyDescent="0.3">
      <c r="A87" s="29" t="s">
        <v>67</v>
      </c>
      <c r="B87" s="20">
        <v>2204.3000000000002</v>
      </c>
      <c r="C87" s="20">
        <v>2233.9</v>
      </c>
      <c r="D87" s="21">
        <f t="shared" si="16"/>
        <v>1.3428299233316657E-2</v>
      </c>
      <c r="E87" s="39">
        <f t="shared" si="17"/>
        <v>58</v>
      </c>
      <c r="F87" s="20">
        <f t="shared" si="18"/>
        <v>127849.40000000001</v>
      </c>
      <c r="G87" s="20">
        <f t="shared" si="19"/>
        <v>129566.20000000001</v>
      </c>
    </row>
    <row r="88" spans="1:7" ht="15" customHeight="1" x14ac:dyDescent="0.3">
      <c r="A88" s="31" t="s">
        <v>110</v>
      </c>
      <c r="B88" s="25">
        <v>2935.9</v>
      </c>
      <c r="C88" s="25">
        <v>3086</v>
      </c>
      <c r="D88" s="26">
        <f t="shared" si="16"/>
        <v>5.1125719540856263E-2</v>
      </c>
      <c r="E88" s="40">
        <f t="shared" si="17"/>
        <v>44</v>
      </c>
      <c r="F88" s="25">
        <f t="shared" si="18"/>
        <v>129179.6</v>
      </c>
      <c r="G88" s="25">
        <f t="shared" si="19"/>
        <v>135784</v>
      </c>
    </row>
    <row r="89" spans="1:7" ht="15" customHeight="1" x14ac:dyDescent="0.3">
      <c r="A89" s="29" t="s">
        <v>71</v>
      </c>
      <c r="B89" s="20">
        <v>4794.3</v>
      </c>
      <c r="C89" s="20">
        <v>5386</v>
      </c>
      <c r="D89" s="21">
        <f t="shared" si="16"/>
        <v>0.12341739148572259</v>
      </c>
      <c r="E89" s="39">
        <f t="shared" si="17"/>
        <v>27</v>
      </c>
      <c r="F89" s="20">
        <f t="shared" si="18"/>
        <v>129446.1</v>
      </c>
      <c r="G89" s="20">
        <f t="shared" si="19"/>
        <v>145422</v>
      </c>
    </row>
    <row r="90" spans="1:7" ht="15" customHeight="1" x14ac:dyDescent="0.3">
      <c r="A90" s="31" t="s">
        <v>137</v>
      </c>
      <c r="B90" s="25">
        <v>10603</v>
      </c>
      <c r="C90" s="25">
        <v>11343</v>
      </c>
      <c r="D90" s="26">
        <f t="shared" si="16"/>
        <v>6.9791568424030934E-2</v>
      </c>
      <c r="E90" s="40">
        <f t="shared" si="17"/>
        <v>12</v>
      </c>
      <c r="F90" s="25">
        <f t="shared" si="18"/>
        <v>127236</v>
      </c>
      <c r="G90" s="25">
        <f t="shared" si="19"/>
        <v>136116</v>
      </c>
    </row>
    <row r="91" spans="1:7" ht="15" customHeight="1" x14ac:dyDescent="0.3">
      <c r="A91" s="29" t="s">
        <v>138</v>
      </c>
      <c r="B91" s="20">
        <v>127820</v>
      </c>
      <c r="C91" s="20">
        <v>132770</v>
      </c>
      <c r="D91" s="21">
        <f t="shared" si="16"/>
        <v>3.8726333907056799E-2</v>
      </c>
      <c r="E91" s="39">
        <f t="shared" si="17"/>
        <v>1</v>
      </c>
      <c r="F91" s="20">
        <f t="shared" si="18"/>
        <v>127820</v>
      </c>
      <c r="G91" s="20">
        <f t="shared" si="19"/>
        <v>132770</v>
      </c>
    </row>
    <row r="92" spans="1:7" ht="15" customHeight="1" x14ac:dyDescent="0.3">
      <c r="A92" s="41" t="s">
        <v>75</v>
      </c>
      <c r="B92" s="42"/>
      <c r="C92" s="42"/>
      <c r="D92" s="42"/>
      <c r="E92" s="42"/>
      <c r="F92" s="43">
        <f>SUM(F83:F91)</f>
        <v>1153084</v>
      </c>
      <c r="G92" s="43">
        <f>SUM(G83:G91)</f>
        <v>1166318.7</v>
      </c>
    </row>
    <row r="94" spans="1:7" ht="39.75" customHeight="1" x14ac:dyDescent="0.3">
      <c r="A94" s="5" t="s">
        <v>93</v>
      </c>
      <c r="B94" s="5"/>
      <c r="C94" s="5"/>
      <c r="D94" s="5"/>
      <c r="E94" s="5"/>
      <c r="F94" s="5"/>
      <c r="G94" s="5"/>
    </row>
  </sheetData>
  <mergeCells count="48">
    <mergeCell ref="B79:C79"/>
    <mergeCell ref="D79:E79"/>
    <mergeCell ref="F79:G79"/>
    <mergeCell ref="A81:G81"/>
    <mergeCell ref="A94:G94"/>
    <mergeCell ref="A63:G63"/>
    <mergeCell ref="A76:G76"/>
    <mergeCell ref="A77:G77"/>
    <mergeCell ref="B78:C78"/>
    <mergeCell ref="D78:E78"/>
    <mergeCell ref="F78:G78"/>
    <mergeCell ref="A59:G59"/>
    <mergeCell ref="B60:C60"/>
    <mergeCell ref="D60:E60"/>
    <mergeCell ref="F60:G60"/>
    <mergeCell ref="B61:C61"/>
    <mergeCell ref="D61:E61"/>
    <mergeCell ref="F61:G61"/>
    <mergeCell ref="B43:C43"/>
    <mergeCell ref="D43:E43"/>
    <mergeCell ref="F43:G43"/>
    <mergeCell ref="A45:G45"/>
    <mergeCell ref="A58:G58"/>
    <mergeCell ref="A27:G27"/>
    <mergeCell ref="A40:G40"/>
    <mergeCell ref="A41:G41"/>
    <mergeCell ref="B42:C42"/>
    <mergeCell ref="D42:E42"/>
    <mergeCell ref="F42:G42"/>
    <mergeCell ref="A23:G23"/>
    <mergeCell ref="B24:C24"/>
    <mergeCell ref="D24:E24"/>
    <mergeCell ref="F24:G24"/>
    <mergeCell ref="B25:C25"/>
    <mergeCell ref="D25:E25"/>
    <mergeCell ref="F25:G25"/>
    <mergeCell ref="B7:C7"/>
    <mergeCell ref="D7:E7"/>
    <mergeCell ref="F7:G7"/>
    <mergeCell ref="A9:G9"/>
    <mergeCell ref="A22:G22"/>
    <mergeCell ref="A1:G1"/>
    <mergeCell ref="A2:G2"/>
    <mergeCell ref="A4:G4"/>
    <mergeCell ref="A5:G5"/>
    <mergeCell ref="B6:C6"/>
    <mergeCell ref="D6:E6"/>
    <mergeCell ref="F6:G6"/>
  </mergeCells>
  <conditionalFormatting sqref="F7">
    <cfRule type="cellIs" dxfId="39" priority="2" operator="greaterThanOrEqual">
      <formula>0</formula>
    </cfRule>
    <cfRule type="cellIs" dxfId="38" priority="3" operator="lessThan">
      <formula>0</formula>
    </cfRule>
  </conditionalFormatting>
  <conditionalFormatting sqref="F25">
    <cfRule type="cellIs" dxfId="37" priority="4" operator="greaterThanOrEqual">
      <formula>0</formula>
    </cfRule>
    <cfRule type="cellIs" dxfId="36" priority="5" operator="lessThan">
      <formula>0</formula>
    </cfRule>
  </conditionalFormatting>
  <conditionalFormatting sqref="F43">
    <cfRule type="cellIs" dxfId="35" priority="6" operator="greaterThanOrEqual">
      <formula>0</formula>
    </cfRule>
    <cfRule type="cellIs" dxfId="34" priority="7" operator="lessThan">
      <formula>0</formula>
    </cfRule>
  </conditionalFormatting>
  <conditionalFormatting sqref="F61">
    <cfRule type="cellIs" dxfId="33" priority="8" operator="greaterThanOrEqual">
      <formula>0</formula>
    </cfRule>
    <cfRule type="cellIs" dxfId="32" priority="9" operator="lessThan">
      <formula>0</formula>
    </cfRule>
  </conditionalFormatting>
  <conditionalFormatting sqref="F79">
    <cfRule type="cellIs" dxfId="31" priority="10" operator="greaterThanOrEqual">
      <formula>0</formula>
    </cfRule>
    <cfRule type="cellIs" dxfId="3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9"/>
  <sheetViews>
    <sheetView showGridLines="0" zoomScaleNormal="100" workbookViewId="0">
      <pane ySplit="3" topLeftCell="A4" activePane="bottomLeft" state="frozen"/>
      <selection pane="bottomLeft" activeCell="I18" sqref="I18"/>
    </sheetView>
  </sheetViews>
  <sheetFormatPr defaultColWidth="8.6640625" defaultRowHeight="14.4" x14ac:dyDescent="0.3"/>
  <cols>
    <col min="1" max="1" width="34" customWidth="1"/>
    <col min="2" max="3" width="15" customWidth="1"/>
    <col min="4" max="4" width="11" customWidth="1"/>
    <col min="5" max="5" width="12" customWidth="1"/>
    <col min="6" max="7" width="16" customWidth="1"/>
    <col min="9" max="9" width="40" customWidth="1"/>
  </cols>
  <sheetData>
    <row r="1" spans="1:10" ht="25.5" customHeight="1" x14ac:dyDescent="0.3">
      <c r="A1" s="12" t="s">
        <v>139</v>
      </c>
      <c r="B1" s="12"/>
      <c r="C1" s="12"/>
      <c r="D1" s="12"/>
      <c r="E1" s="12"/>
      <c r="F1" s="12"/>
      <c r="G1" s="12"/>
    </row>
    <row r="2" spans="1:10" ht="15.75" customHeight="1" x14ac:dyDescent="0.3">
      <c r="A2" s="11" t="s">
        <v>188</v>
      </c>
      <c r="B2" s="11"/>
      <c r="C2" s="11"/>
      <c r="D2" s="11"/>
      <c r="E2" s="11"/>
      <c r="F2" s="11"/>
      <c r="G2" s="11"/>
    </row>
    <row r="4" spans="1:10" ht="18" customHeight="1" x14ac:dyDescent="0.3">
      <c r="A4" s="10" t="s">
        <v>48</v>
      </c>
      <c r="B4" s="10"/>
      <c r="C4" s="10"/>
      <c r="D4" s="10"/>
      <c r="E4" s="10"/>
      <c r="F4" s="10"/>
      <c r="G4" s="10"/>
      <c r="I4" s="33" t="s">
        <v>49</v>
      </c>
    </row>
    <row r="5" spans="1:10" ht="15" customHeight="1" x14ac:dyDescent="0.3">
      <c r="A5" s="9" t="s">
        <v>140</v>
      </c>
      <c r="B5" s="9"/>
      <c r="C5" s="9"/>
      <c r="D5" s="9"/>
      <c r="E5" s="9"/>
      <c r="F5" s="9"/>
      <c r="G5" s="9"/>
      <c r="I5" s="44" t="s">
        <v>141</v>
      </c>
    </row>
    <row r="6" spans="1:10" ht="15.75" customHeight="1" x14ac:dyDescent="0.3">
      <c r="A6" s="36" t="s">
        <v>19</v>
      </c>
      <c r="B6" s="8" t="s">
        <v>52</v>
      </c>
      <c r="C6" s="8"/>
      <c r="D6" s="8" t="s">
        <v>53</v>
      </c>
      <c r="E6" s="8"/>
      <c r="F6" s="8" t="s">
        <v>54</v>
      </c>
      <c r="G6" s="8"/>
      <c r="I6" s="34" t="s">
        <v>142</v>
      </c>
    </row>
    <row r="7" spans="1:10" ht="21.75" customHeight="1" x14ac:dyDescent="0.3">
      <c r="A7" s="37">
        <f>COUNT(B11:B24)</f>
        <v>14</v>
      </c>
      <c r="B7" s="7">
        <f>F25</f>
        <v>134726.25</v>
      </c>
      <c r="C7" s="7"/>
      <c r="D7" s="7">
        <f>G25</f>
        <v>136239.97999999998</v>
      </c>
      <c r="E7" s="7"/>
      <c r="F7" s="6">
        <f>(G25-F25)/F25</f>
        <v>1.1235598110984173E-2</v>
      </c>
      <c r="G7" s="6"/>
      <c r="I7" s="38" t="s">
        <v>143</v>
      </c>
    </row>
    <row r="8" spans="1:10" ht="16.5" customHeight="1" x14ac:dyDescent="0.3">
      <c r="J8" s="35"/>
    </row>
    <row r="9" spans="1:10" ht="18" customHeight="1" x14ac:dyDescent="0.3">
      <c r="A9" s="10" t="s">
        <v>57</v>
      </c>
      <c r="B9" s="10"/>
      <c r="C9" s="10"/>
      <c r="D9" s="10"/>
      <c r="E9" s="10"/>
      <c r="F9" s="10"/>
      <c r="G9" s="10"/>
      <c r="J9" s="35"/>
    </row>
    <row r="10" spans="1:10" ht="15" customHeight="1" x14ac:dyDescent="0.3">
      <c r="A10" s="36" t="s">
        <v>58</v>
      </c>
      <c r="B10" s="36" t="s">
        <v>59</v>
      </c>
      <c r="C10" s="36" t="s">
        <v>60</v>
      </c>
      <c r="D10" s="36" t="s">
        <v>61</v>
      </c>
      <c r="E10" s="36" t="s">
        <v>62</v>
      </c>
      <c r="F10" s="36" t="s">
        <v>63</v>
      </c>
      <c r="G10" s="36" t="s">
        <v>53</v>
      </c>
      <c r="J10" s="35"/>
    </row>
    <row r="11" spans="1:10" ht="15" customHeight="1" x14ac:dyDescent="0.3">
      <c r="A11" s="29" t="s">
        <v>144</v>
      </c>
      <c r="B11" s="20">
        <v>32.53</v>
      </c>
      <c r="C11" s="20">
        <v>32.799999999999997</v>
      </c>
      <c r="D11" s="21">
        <f t="shared" ref="D11:D24" si="0">(C11-B11)/B11</f>
        <v>8.3000307408544732E-3</v>
      </c>
      <c r="E11" s="39">
        <f t="shared" ref="E11:E24" si="1">ROUND($B$24/B11,0)</f>
        <v>299</v>
      </c>
      <c r="F11" s="20">
        <f t="shared" ref="F11:F24" si="2">B11*E11</f>
        <v>9726.4700000000012</v>
      </c>
      <c r="G11" s="20">
        <f t="shared" ref="G11:G24" si="3">C11*E11</f>
        <v>9807.1999999999989</v>
      </c>
      <c r="J11" s="35"/>
    </row>
    <row r="12" spans="1:10" ht="15" customHeight="1" x14ac:dyDescent="0.3">
      <c r="A12" s="31" t="s">
        <v>100</v>
      </c>
      <c r="B12" s="25">
        <v>85.16</v>
      </c>
      <c r="C12" s="25">
        <v>85.4</v>
      </c>
      <c r="D12" s="26">
        <f t="shared" si="0"/>
        <v>2.8182245185534183E-3</v>
      </c>
      <c r="E12" s="40">
        <f t="shared" si="1"/>
        <v>114</v>
      </c>
      <c r="F12" s="25">
        <f t="shared" si="2"/>
        <v>9708.24</v>
      </c>
      <c r="G12" s="25">
        <f t="shared" si="3"/>
        <v>9735.6</v>
      </c>
    </row>
    <row r="13" spans="1:10" ht="15" customHeight="1" x14ac:dyDescent="0.3">
      <c r="A13" s="29" t="s">
        <v>145</v>
      </c>
      <c r="B13" s="20">
        <v>124.13</v>
      </c>
      <c r="C13" s="20">
        <v>130.16</v>
      </c>
      <c r="D13" s="21">
        <f t="shared" si="0"/>
        <v>4.8578103601063412E-2</v>
      </c>
      <c r="E13" s="39">
        <f t="shared" si="1"/>
        <v>78</v>
      </c>
      <c r="F13" s="20">
        <f t="shared" si="2"/>
        <v>9682.14</v>
      </c>
      <c r="G13" s="20">
        <f t="shared" si="3"/>
        <v>10152.48</v>
      </c>
    </row>
    <row r="14" spans="1:10" ht="15" customHeight="1" x14ac:dyDescent="0.3">
      <c r="A14" s="31" t="s">
        <v>119</v>
      </c>
      <c r="B14" s="25">
        <v>139.38</v>
      </c>
      <c r="C14" s="25">
        <v>141.56</v>
      </c>
      <c r="D14" s="26">
        <f t="shared" si="0"/>
        <v>1.5640694504233082E-2</v>
      </c>
      <c r="E14" s="40">
        <f t="shared" si="1"/>
        <v>70</v>
      </c>
      <c r="F14" s="25">
        <f t="shared" si="2"/>
        <v>9756.6</v>
      </c>
      <c r="G14" s="25">
        <f t="shared" si="3"/>
        <v>9909.2000000000007</v>
      </c>
    </row>
    <row r="15" spans="1:10" ht="15" customHeight="1" x14ac:dyDescent="0.3">
      <c r="A15" s="29" t="s">
        <v>146</v>
      </c>
      <c r="B15" s="20">
        <v>140.4</v>
      </c>
      <c r="C15" s="20">
        <v>144.05000000000001</v>
      </c>
      <c r="D15" s="21">
        <f t="shared" si="0"/>
        <v>2.5997150997151035E-2</v>
      </c>
      <c r="E15" s="39">
        <f t="shared" si="1"/>
        <v>69</v>
      </c>
      <c r="F15" s="20">
        <f t="shared" si="2"/>
        <v>9687.6</v>
      </c>
      <c r="G15" s="20">
        <f t="shared" si="3"/>
        <v>9939.4500000000007</v>
      </c>
    </row>
    <row r="16" spans="1:10" ht="15" customHeight="1" x14ac:dyDescent="0.3">
      <c r="A16" s="31" t="s">
        <v>64</v>
      </c>
      <c r="B16" s="25">
        <v>280.75</v>
      </c>
      <c r="C16" s="25">
        <v>280.39999999999998</v>
      </c>
      <c r="D16" s="26">
        <f t="shared" si="0"/>
        <v>-1.2466607301870802E-3</v>
      </c>
      <c r="E16" s="40">
        <f t="shared" si="1"/>
        <v>35</v>
      </c>
      <c r="F16" s="25">
        <f t="shared" si="2"/>
        <v>9826.25</v>
      </c>
      <c r="G16" s="25">
        <f t="shared" si="3"/>
        <v>9814</v>
      </c>
    </row>
    <row r="17" spans="1:7" ht="15" customHeight="1" x14ac:dyDescent="0.3">
      <c r="A17" s="29" t="s">
        <v>120</v>
      </c>
      <c r="B17" s="20">
        <v>303.55</v>
      </c>
      <c r="C17" s="20">
        <v>308.14999999999998</v>
      </c>
      <c r="D17" s="21">
        <f t="shared" si="0"/>
        <v>1.5154010871355513E-2</v>
      </c>
      <c r="E17" s="39">
        <f t="shared" si="1"/>
        <v>32</v>
      </c>
      <c r="F17" s="20">
        <f t="shared" si="2"/>
        <v>9713.6</v>
      </c>
      <c r="G17" s="20">
        <f t="shared" si="3"/>
        <v>9860.7999999999993</v>
      </c>
    </row>
    <row r="18" spans="1:7" ht="15" customHeight="1" x14ac:dyDescent="0.3">
      <c r="A18" s="31" t="s">
        <v>123</v>
      </c>
      <c r="B18" s="25">
        <v>431.65</v>
      </c>
      <c r="C18" s="25">
        <v>430.35</v>
      </c>
      <c r="D18" s="26">
        <f t="shared" si="0"/>
        <v>-3.0116992934089066E-3</v>
      </c>
      <c r="E18" s="40">
        <f t="shared" si="1"/>
        <v>23</v>
      </c>
      <c r="F18" s="25">
        <f t="shared" si="2"/>
        <v>9927.9499999999989</v>
      </c>
      <c r="G18" s="25">
        <f t="shared" si="3"/>
        <v>9898.0500000000011</v>
      </c>
    </row>
    <row r="19" spans="1:7" ht="15" customHeight="1" x14ac:dyDescent="0.3">
      <c r="A19" s="29" t="s">
        <v>106</v>
      </c>
      <c r="B19" s="20">
        <v>439.05</v>
      </c>
      <c r="C19" s="20">
        <v>438.7</v>
      </c>
      <c r="D19" s="21">
        <f t="shared" si="0"/>
        <v>-7.9717572030525621E-4</v>
      </c>
      <c r="E19" s="39">
        <f t="shared" si="1"/>
        <v>22</v>
      </c>
      <c r="F19" s="20">
        <f t="shared" si="2"/>
        <v>9659.1</v>
      </c>
      <c r="G19" s="20">
        <f t="shared" si="3"/>
        <v>9651.4</v>
      </c>
    </row>
    <row r="20" spans="1:7" ht="15" customHeight="1" x14ac:dyDescent="0.3">
      <c r="A20" s="31" t="s">
        <v>147</v>
      </c>
      <c r="B20" s="25">
        <v>533.15</v>
      </c>
      <c r="C20" s="25">
        <v>536.54999999999995</v>
      </c>
      <c r="D20" s="26">
        <f t="shared" si="0"/>
        <v>6.377192159804891E-3</v>
      </c>
      <c r="E20" s="40">
        <f t="shared" si="1"/>
        <v>18</v>
      </c>
      <c r="F20" s="25">
        <f t="shared" si="2"/>
        <v>9596.6999999999989</v>
      </c>
      <c r="G20" s="25">
        <f t="shared" si="3"/>
        <v>9657.9</v>
      </c>
    </row>
    <row r="21" spans="1:7" ht="15" customHeight="1" x14ac:dyDescent="0.3">
      <c r="A21" s="29" t="s">
        <v>148</v>
      </c>
      <c r="B21" s="20">
        <v>1162</v>
      </c>
      <c r="C21" s="20">
        <v>1218.2</v>
      </c>
      <c r="D21" s="21">
        <f t="shared" si="0"/>
        <v>4.836488812392431E-2</v>
      </c>
      <c r="E21" s="39">
        <f t="shared" si="1"/>
        <v>8</v>
      </c>
      <c r="F21" s="20">
        <f t="shared" si="2"/>
        <v>9296</v>
      </c>
      <c r="G21" s="20">
        <f t="shared" si="3"/>
        <v>9745.6</v>
      </c>
    </row>
    <row r="22" spans="1:7" ht="15" customHeight="1" x14ac:dyDescent="0.3">
      <c r="A22" s="31" t="s">
        <v>149</v>
      </c>
      <c r="B22" s="25">
        <v>2947</v>
      </c>
      <c r="C22" s="25">
        <v>2859.2</v>
      </c>
      <c r="D22" s="26">
        <f t="shared" si="0"/>
        <v>-2.979300984051584E-2</v>
      </c>
      <c r="E22" s="40">
        <f t="shared" si="1"/>
        <v>3</v>
      </c>
      <c r="F22" s="25">
        <f t="shared" si="2"/>
        <v>8841</v>
      </c>
      <c r="G22" s="25">
        <f t="shared" si="3"/>
        <v>8577.5999999999985</v>
      </c>
    </row>
    <row r="23" spans="1:7" ht="15" customHeight="1" x14ac:dyDescent="0.3">
      <c r="A23" s="29" t="s">
        <v>71</v>
      </c>
      <c r="B23" s="20">
        <v>4794.3</v>
      </c>
      <c r="C23" s="20">
        <v>4852.6000000000004</v>
      </c>
      <c r="D23" s="21">
        <f t="shared" si="0"/>
        <v>1.2160273658302604E-2</v>
      </c>
      <c r="E23" s="39">
        <f t="shared" si="1"/>
        <v>2</v>
      </c>
      <c r="F23" s="20">
        <f t="shared" si="2"/>
        <v>9588.6</v>
      </c>
      <c r="G23" s="20">
        <f t="shared" si="3"/>
        <v>9705.2000000000007</v>
      </c>
    </row>
    <row r="24" spans="1:7" ht="15" customHeight="1" x14ac:dyDescent="0.3">
      <c r="A24" s="31" t="s">
        <v>150</v>
      </c>
      <c r="B24" s="25">
        <v>9716</v>
      </c>
      <c r="C24" s="25">
        <v>9785.5</v>
      </c>
      <c r="D24" s="26">
        <f t="shared" si="0"/>
        <v>7.1531494442157268E-3</v>
      </c>
      <c r="E24" s="40">
        <f t="shared" si="1"/>
        <v>1</v>
      </c>
      <c r="F24" s="25">
        <f t="shared" si="2"/>
        <v>9716</v>
      </c>
      <c r="G24" s="25">
        <f t="shared" si="3"/>
        <v>9785.5</v>
      </c>
    </row>
    <row r="25" spans="1:7" ht="15" customHeight="1" x14ac:dyDescent="0.3">
      <c r="A25" s="41" t="s">
        <v>75</v>
      </c>
      <c r="B25" s="42"/>
      <c r="C25" s="42"/>
      <c r="D25" s="42"/>
      <c r="E25" s="42"/>
      <c r="F25" s="43">
        <f>SUM(F11:F24)</f>
        <v>134726.25</v>
      </c>
      <c r="G25" s="43">
        <f>SUM(G11:G24)</f>
        <v>136239.97999999998</v>
      </c>
    </row>
    <row r="27" spans="1:7" ht="18" customHeight="1" x14ac:dyDescent="0.3">
      <c r="A27" s="10" t="s">
        <v>76</v>
      </c>
      <c r="B27" s="10"/>
      <c r="C27" s="10"/>
      <c r="D27" s="10"/>
      <c r="E27" s="10"/>
      <c r="F27" s="10"/>
      <c r="G27" s="10"/>
    </row>
    <row r="28" spans="1:7" ht="15" customHeight="1" x14ac:dyDescent="0.3">
      <c r="A28" s="9" t="s">
        <v>77</v>
      </c>
      <c r="B28" s="9"/>
      <c r="C28" s="9"/>
      <c r="D28" s="9"/>
      <c r="E28" s="9"/>
      <c r="F28" s="9"/>
      <c r="G28" s="9"/>
    </row>
    <row r="29" spans="1:7" ht="15.75" customHeight="1" x14ac:dyDescent="0.3">
      <c r="A29" s="36" t="s">
        <v>19</v>
      </c>
      <c r="B29" s="8" t="s">
        <v>52</v>
      </c>
      <c r="C29" s="8"/>
      <c r="D29" s="8" t="s">
        <v>53</v>
      </c>
      <c r="E29" s="8"/>
      <c r="F29" s="8" t="s">
        <v>78</v>
      </c>
      <c r="G29" s="8"/>
    </row>
    <row r="30" spans="1:7" ht="21.75" customHeight="1" x14ac:dyDescent="0.3">
      <c r="A30" s="37">
        <f>COUNT(B34:B47)</f>
        <v>14</v>
      </c>
      <c r="B30" s="7">
        <f>F48</f>
        <v>134726.25</v>
      </c>
      <c r="C30" s="7"/>
      <c r="D30" s="7">
        <f>G48</f>
        <v>137928.72</v>
      </c>
      <c r="E30" s="7"/>
      <c r="F30" s="6">
        <f>(G48-F48)/F48</f>
        <v>2.3770200684721805E-2</v>
      </c>
      <c r="G30" s="6"/>
    </row>
    <row r="32" spans="1:7" ht="18" customHeight="1" x14ac:dyDescent="0.3">
      <c r="A32" s="10" t="s">
        <v>79</v>
      </c>
      <c r="B32" s="10"/>
      <c r="C32" s="10"/>
      <c r="D32" s="10"/>
      <c r="E32" s="10"/>
      <c r="F32" s="10"/>
      <c r="G32" s="10"/>
    </row>
    <row r="33" spans="1:7" ht="15" customHeight="1" x14ac:dyDescent="0.3">
      <c r="A33" s="36" t="s">
        <v>58</v>
      </c>
      <c r="B33" s="36" t="s">
        <v>59</v>
      </c>
      <c r="C33" s="36" t="s">
        <v>80</v>
      </c>
      <c r="D33" s="36" t="s">
        <v>61</v>
      </c>
      <c r="E33" s="36" t="s">
        <v>62</v>
      </c>
      <c r="F33" s="36" t="s">
        <v>63</v>
      </c>
      <c r="G33" s="36" t="s">
        <v>53</v>
      </c>
    </row>
    <row r="34" spans="1:7" ht="15" customHeight="1" x14ac:dyDescent="0.3">
      <c r="A34" s="29" t="s">
        <v>144</v>
      </c>
      <c r="B34" s="20">
        <v>32.53</v>
      </c>
      <c r="C34" s="20">
        <v>32.6</v>
      </c>
      <c r="D34" s="21">
        <f t="shared" ref="D34:D47" si="4">(C34-B34)/B34</f>
        <v>2.1518598217030518E-3</v>
      </c>
      <c r="E34" s="39">
        <f t="shared" ref="E34:E47" si="5">ROUND($B$24/B34,0)</f>
        <v>299</v>
      </c>
      <c r="F34" s="20">
        <f t="shared" ref="F34:F47" si="6">B34*E34</f>
        <v>9726.4700000000012</v>
      </c>
      <c r="G34" s="20">
        <f t="shared" ref="G34:G47" si="7">C34*E34</f>
        <v>9747.4</v>
      </c>
    </row>
    <row r="35" spans="1:7" ht="15" customHeight="1" x14ac:dyDescent="0.3">
      <c r="A35" s="31" t="s">
        <v>100</v>
      </c>
      <c r="B35" s="25">
        <v>85.16</v>
      </c>
      <c r="C35" s="25">
        <v>84.92</v>
      </c>
      <c r="D35" s="26">
        <f t="shared" si="4"/>
        <v>-2.8182245185532514E-3</v>
      </c>
      <c r="E35" s="40">
        <f t="shared" si="5"/>
        <v>114</v>
      </c>
      <c r="F35" s="25">
        <f t="shared" si="6"/>
        <v>9708.24</v>
      </c>
      <c r="G35" s="25">
        <f t="shared" si="7"/>
        <v>9680.880000000001</v>
      </c>
    </row>
    <row r="36" spans="1:7" ht="15" customHeight="1" x14ac:dyDescent="0.3">
      <c r="A36" s="29" t="s">
        <v>145</v>
      </c>
      <c r="B36" s="20">
        <v>124.13</v>
      </c>
      <c r="C36" s="20">
        <v>147.43</v>
      </c>
      <c r="D36" s="21">
        <f t="shared" si="4"/>
        <v>0.187706436800129</v>
      </c>
      <c r="E36" s="39">
        <f t="shared" si="5"/>
        <v>78</v>
      </c>
      <c r="F36" s="20">
        <f t="shared" si="6"/>
        <v>9682.14</v>
      </c>
      <c r="G36" s="20">
        <f t="shared" si="7"/>
        <v>11499.54</v>
      </c>
    </row>
    <row r="37" spans="1:7" ht="15" customHeight="1" x14ac:dyDescent="0.3">
      <c r="A37" s="31" t="s">
        <v>119</v>
      </c>
      <c r="B37" s="25">
        <v>139.38</v>
      </c>
      <c r="C37" s="25">
        <v>138.96</v>
      </c>
      <c r="D37" s="26">
        <f t="shared" si="4"/>
        <v>-3.013344812742054E-3</v>
      </c>
      <c r="E37" s="40">
        <f t="shared" si="5"/>
        <v>70</v>
      </c>
      <c r="F37" s="25">
        <f t="shared" si="6"/>
        <v>9756.6</v>
      </c>
      <c r="G37" s="25">
        <f t="shared" si="7"/>
        <v>9727.2000000000007</v>
      </c>
    </row>
    <row r="38" spans="1:7" ht="15" customHeight="1" x14ac:dyDescent="0.3">
      <c r="A38" s="29" t="s">
        <v>146</v>
      </c>
      <c r="B38" s="20">
        <v>140.4</v>
      </c>
      <c r="C38" s="20">
        <v>144.9</v>
      </c>
      <c r="D38" s="21">
        <f t="shared" si="4"/>
        <v>3.2051282051282048E-2</v>
      </c>
      <c r="E38" s="39">
        <f t="shared" si="5"/>
        <v>69</v>
      </c>
      <c r="F38" s="20">
        <f t="shared" si="6"/>
        <v>9687.6</v>
      </c>
      <c r="G38" s="20">
        <f t="shared" si="7"/>
        <v>9998.1</v>
      </c>
    </row>
    <row r="39" spans="1:7" ht="15" customHeight="1" x14ac:dyDescent="0.3">
      <c r="A39" s="31" t="s">
        <v>64</v>
      </c>
      <c r="B39" s="25">
        <v>280.75</v>
      </c>
      <c r="C39" s="25">
        <v>272.55</v>
      </c>
      <c r="D39" s="26">
        <f t="shared" si="4"/>
        <v>-2.920747996438108E-2</v>
      </c>
      <c r="E39" s="40">
        <f t="shared" si="5"/>
        <v>35</v>
      </c>
      <c r="F39" s="25">
        <f t="shared" si="6"/>
        <v>9826.25</v>
      </c>
      <c r="G39" s="25">
        <f t="shared" si="7"/>
        <v>9539.25</v>
      </c>
    </row>
    <row r="40" spans="1:7" ht="15" customHeight="1" x14ac:dyDescent="0.3">
      <c r="A40" s="29" t="s">
        <v>120</v>
      </c>
      <c r="B40" s="20">
        <v>303.55</v>
      </c>
      <c r="C40" s="20">
        <v>309.75</v>
      </c>
      <c r="D40" s="21">
        <f t="shared" si="4"/>
        <v>2.0424971174435803E-2</v>
      </c>
      <c r="E40" s="39">
        <f t="shared" si="5"/>
        <v>32</v>
      </c>
      <c r="F40" s="20">
        <f t="shared" si="6"/>
        <v>9713.6</v>
      </c>
      <c r="G40" s="20">
        <f t="shared" si="7"/>
        <v>9912</v>
      </c>
    </row>
    <row r="41" spans="1:7" ht="15" customHeight="1" x14ac:dyDescent="0.3">
      <c r="A41" s="31" t="s">
        <v>123</v>
      </c>
      <c r="B41" s="25">
        <v>431.65</v>
      </c>
      <c r="C41" s="25">
        <v>443.05</v>
      </c>
      <c r="D41" s="26">
        <f t="shared" si="4"/>
        <v>2.6410286111432955E-2</v>
      </c>
      <c r="E41" s="40">
        <f t="shared" si="5"/>
        <v>23</v>
      </c>
      <c r="F41" s="25">
        <f t="shared" si="6"/>
        <v>9927.9499999999989</v>
      </c>
      <c r="G41" s="25">
        <f t="shared" si="7"/>
        <v>10190.15</v>
      </c>
    </row>
    <row r="42" spans="1:7" ht="15" customHeight="1" x14ac:dyDescent="0.3">
      <c r="A42" s="29" t="s">
        <v>106</v>
      </c>
      <c r="B42" s="20">
        <v>439.05</v>
      </c>
      <c r="C42" s="20">
        <v>429.3</v>
      </c>
      <c r="D42" s="21">
        <f t="shared" si="4"/>
        <v>-2.2207037922787838E-2</v>
      </c>
      <c r="E42" s="39">
        <f t="shared" si="5"/>
        <v>22</v>
      </c>
      <c r="F42" s="20">
        <f t="shared" si="6"/>
        <v>9659.1</v>
      </c>
      <c r="G42" s="20">
        <f t="shared" si="7"/>
        <v>9444.6</v>
      </c>
    </row>
    <row r="43" spans="1:7" ht="15" customHeight="1" x14ac:dyDescent="0.3">
      <c r="A43" s="31" t="s">
        <v>147</v>
      </c>
      <c r="B43" s="25">
        <v>533.15</v>
      </c>
      <c r="C43" s="25">
        <v>536.95000000000005</v>
      </c>
      <c r="D43" s="26">
        <f t="shared" si="4"/>
        <v>7.1274500609585824E-3</v>
      </c>
      <c r="E43" s="40">
        <f t="shared" si="5"/>
        <v>18</v>
      </c>
      <c r="F43" s="25">
        <f t="shared" si="6"/>
        <v>9596.6999999999989</v>
      </c>
      <c r="G43" s="25">
        <f t="shared" si="7"/>
        <v>9665.1</v>
      </c>
    </row>
    <row r="44" spans="1:7" ht="15" customHeight="1" x14ac:dyDescent="0.3">
      <c r="A44" s="29" t="s">
        <v>148</v>
      </c>
      <c r="B44" s="20">
        <v>1162</v>
      </c>
      <c r="C44" s="20">
        <v>1212.7</v>
      </c>
      <c r="D44" s="21">
        <f t="shared" si="4"/>
        <v>4.363166953528403E-2</v>
      </c>
      <c r="E44" s="39">
        <f t="shared" si="5"/>
        <v>8</v>
      </c>
      <c r="F44" s="20">
        <f t="shared" si="6"/>
        <v>9296</v>
      </c>
      <c r="G44" s="20">
        <f t="shared" si="7"/>
        <v>9701.6</v>
      </c>
    </row>
    <row r="45" spans="1:7" ht="15" customHeight="1" x14ac:dyDescent="0.3">
      <c r="A45" s="31" t="s">
        <v>149</v>
      </c>
      <c r="B45" s="25">
        <v>2947</v>
      </c>
      <c r="C45" s="25">
        <v>2922.9</v>
      </c>
      <c r="D45" s="26">
        <f t="shared" si="4"/>
        <v>-8.1778079402782186E-3</v>
      </c>
      <c r="E45" s="40">
        <f t="shared" si="5"/>
        <v>3</v>
      </c>
      <c r="F45" s="25">
        <f t="shared" si="6"/>
        <v>8841</v>
      </c>
      <c r="G45" s="25">
        <f t="shared" si="7"/>
        <v>8768.7000000000007</v>
      </c>
    </row>
    <row r="46" spans="1:7" ht="15" customHeight="1" x14ac:dyDescent="0.3">
      <c r="A46" s="29" t="s">
        <v>71</v>
      </c>
      <c r="B46" s="20">
        <v>4794.3</v>
      </c>
      <c r="C46" s="20">
        <v>4949.1000000000004</v>
      </c>
      <c r="D46" s="21">
        <f t="shared" si="4"/>
        <v>3.2288342406607884E-2</v>
      </c>
      <c r="E46" s="39">
        <f t="shared" si="5"/>
        <v>2</v>
      </c>
      <c r="F46" s="20">
        <f t="shared" si="6"/>
        <v>9588.6</v>
      </c>
      <c r="G46" s="20">
        <f t="shared" si="7"/>
        <v>9898.2000000000007</v>
      </c>
    </row>
    <row r="47" spans="1:7" ht="15" customHeight="1" x14ac:dyDescent="0.3">
      <c r="A47" s="31" t="s">
        <v>150</v>
      </c>
      <c r="B47" s="25">
        <v>9716</v>
      </c>
      <c r="C47" s="25">
        <v>10156</v>
      </c>
      <c r="D47" s="26">
        <f t="shared" si="4"/>
        <v>4.5286125977768626E-2</v>
      </c>
      <c r="E47" s="40">
        <f t="shared" si="5"/>
        <v>1</v>
      </c>
      <c r="F47" s="25">
        <f t="shared" si="6"/>
        <v>9716</v>
      </c>
      <c r="G47" s="25">
        <f t="shared" si="7"/>
        <v>10156</v>
      </c>
    </row>
    <row r="48" spans="1:7" ht="15" customHeight="1" x14ac:dyDescent="0.3">
      <c r="A48" s="41" t="s">
        <v>75</v>
      </c>
      <c r="B48" s="42"/>
      <c r="C48" s="42"/>
      <c r="D48" s="42"/>
      <c r="E48" s="42"/>
      <c r="F48" s="43">
        <f>SUM(F34:F47)</f>
        <v>134726.25</v>
      </c>
      <c r="G48" s="43">
        <f>SUM(G34:G47)</f>
        <v>137928.72</v>
      </c>
    </row>
    <row r="50" spans="1:7" ht="18" customHeight="1" x14ac:dyDescent="0.3">
      <c r="A50" s="10" t="s">
        <v>81</v>
      </c>
      <c r="B50" s="10"/>
      <c r="C50" s="10"/>
      <c r="D50" s="10"/>
      <c r="E50" s="10"/>
      <c r="F50" s="10"/>
      <c r="G50" s="10"/>
    </row>
    <row r="51" spans="1:7" ht="15" customHeight="1" x14ac:dyDescent="0.3">
      <c r="A51" s="9" t="s">
        <v>77</v>
      </c>
      <c r="B51" s="9"/>
      <c r="C51" s="9"/>
      <c r="D51" s="9"/>
      <c r="E51" s="9"/>
      <c r="F51" s="9"/>
      <c r="G51" s="9"/>
    </row>
    <row r="52" spans="1:7" ht="15.75" customHeight="1" x14ac:dyDescent="0.3">
      <c r="A52" s="36" t="s">
        <v>19</v>
      </c>
      <c r="B52" s="8" t="s">
        <v>52</v>
      </c>
      <c r="C52" s="8"/>
      <c r="D52" s="8" t="s">
        <v>53</v>
      </c>
      <c r="E52" s="8"/>
      <c r="F52" s="8" t="s">
        <v>82</v>
      </c>
      <c r="G52" s="8"/>
    </row>
    <row r="53" spans="1:7" ht="21.75" customHeight="1" x14ac:dyDescent="0.3">
      <c r="A53" s="37">
        <f>COUNT(B57:B70)</f>
        <v>14</v>
      </c>
      <c r="B53" s="7">
        <f>F71</f>
        <v>134726.25</v>
      </c>
      <c r="C53" s="7"/>
      <c r="D53" s="7">
        <f>G71</f>
        <v>135293.5</v>
      </c>
      <c r="E53" s="7"/>
      <c r="F53" s="6">
        <f>(G71-F71)/F71</f>
        <v>4.2103895862907192E-3</v>
      </c>
      <c r="G53" s="6"/>
    </row>
    <row r="55" spans="1:7" ht="18" customHeight="1" x14ac:dyDescent="0.3">
      <c r="A55" s="10" t="s">
        <v>83</v>
      </c>
      <c r="B55" s="10"/>
      <c r="C55" s="10"/>
      <c r="D55" s="10"/>
      <c r="E55" s="10"/>
      <c r="F55" s="10"/>
      <c r="G55" s="10"/>
    </row>
    <row r="56" spans="1:7" ht="15" customHeight="1" x14ac:dyDescent="0.3">
      <c r="A56" s="36" t="s">
        <v>58</v>
      </c>
      <c r="B56" s="36" t="s">
        <v>59</v>
      </c>
      <c r="C56" s="36" t="s">
        <v>84</v>
      </c>
      <c r="D56" s="36" t="s">
        <v>61</v>
      </c>
      <c r="E56" s="36" t="s">
        <v>62</v>
      </c>
      <c r="F56" s="36" t="s">
        <v>63</v>
      </c>
      <c r="G56" s="36" t="s">
        <v>53</v>
      </c>
    </row>
    <row r="57" spans="1:7" ht="15" customHeight="1" x14ac:dyDescent="0.3">
      <c r="A57" s="29" t="s">
        <v>144</v>
      </c>
      <c r="B57" s="20">
        <v>32.53</v>
      </c>
      <c r="C57" s="20">
        <v>31.66</v>
      </c>
      <c r="D57" s="21">
        <f t="shared" ref="D57:D70" si="8">(C57-B57)/B57</f>
        <v>-2.6744543498309282E-2</v>
      </c>
      <c r="E57" s="39">
        <f t="shared" ref="E57:E70" si="9">ROUND($B$24/B57,0)</f>
        <v>299</v>
      </c>
      <c r="F57" s="20">
        <f t="shared" ref="F57:F70" si="10">B57*E57</f>
        <v>9726.4700000000012</v>
      </c>
      <c r="G57" s="20">
        <f t="shared" ref="G57:G70" si="11">C57*E57</f>
        <v>9466.34</v>
      </c>
    </row>
    <row r="58" spans="1:7" ht="15" customHeight="1" x14ac:dyDescent="0.3">
      <c r="A58" s="31" t="s">
        <v>100</v>
      </c>
      <c r="B58" s="25">
        <v>85.16</v>
      </c>
      <c r="C58" s="25">
        <v>83.22</v>
      </c>
      <c r="D58" s="26">
        <f t="shared" si="8"/>
        <v>-2.278064819163924E-2</v>
      </c>
      <c r="E58" s="40">
        <f t="shared" si="9"/>
        <v>114</v>
      </c>
      <c r="F58" s="25">
        <f t="shared" si="10"/>
        <v>9708.24</v>
      </c>
      <c r="G58" s="25">
        <f t="shared" si="11"/>
        <v>9487.08</v>
      </c>
    </row>
    <row r="59" spans="1:7" ht="15" customHeight="1" x14ac:dyDescent="0.3">
      <c r="A59" s="29" t="s">
        <v>145</v>
      </c>
      <c r="B59" s="20">
        <v>124.13</v>
      </c>
      <c r="C59" s="20">
        <v>136.05000000000001</v>
      </c>
      <c r="D59" s="21">
        <f t="shared" si="8"/>
        <v>9.6028357367276371E-2</v>
      </c>
      <c r="E59" s="39">
        <f t="shared" si="9"/>
        <v>78</v>
      </c>
      <c r="F59" s="20">
        <f t="shared" si="10"/>
        <v>9682.14</v>
      </c>
      <c r="G59" s="20">
        <f t="shared" si="11"/>
        <v>10611.900000000001</v>
      </c>
    </row>
    <row r="60" spans="1:7" ht="15" customHeight="1" x14ac:dyDescent="0.3">
      <c r="A60" s="31" t="s">
        <v>119</v>
      </c>
      <c r="B60" s="25">
        <v>139.38</v>
      </c>
      <c r="C60" s="25">
        <v>141.69</v>
      </c>
      <c r="D60" s="26">
        <f t="shared" si="8"/>
        <v>1.6573396470081807E-2</v>
      </c>
      <c r="E60" s="40">
        <f t="shared" si="9"/>
        <v>70</v>
      </c>
      <c r="F60" s="25">
        <f t="shared" si="10"/>
        <v>9756.6</v>
      </c>
      <c r="G60" s="25">
        <f t="shared" si="11"/>
        <v>9918.2999999999993</v>
      </c>
    </row>
    <row r="61" spans="1:7" ht="15" customHeight="1" x14ac:dyDescent="0.3">
      <c r="A61" s="29" t="s">
        <v>146</v>
      </c>
      <c r="B61" s="20">
        <v>140.4</v>
      </c>
      <c r="C61" s="20">
        <v>143.16999999999999</v>
      </c>
      <c r="D61" s="21">
        <f t="shared" si="8"/>
        <v>1.9729344729344598E-2</v>
      </c>
      <c r="E61" s="39">
        <f t="shared" si="9"/>
        <v>69</v>
      </c>
      <c r="F61" s="20">
        <f t="shared" si="10"/>
        <v>9687.6</v>
      </c>
      <c r="G61" s="20">
        <f t="shared" si="11"/>
        <v>9878.73</v>
      </c>
    </row>
    <row r="62" spans="1:7" ht="15" customHeight="1" x14ac:dyDescent="0.3">
      <c r="A62" s="31" t="s">
        <v>64</v>
      </c>
      <c r="B62" s="25">
        <v>280.75</v>
      </c>
      <c r="C62" s="25">
        <v>253.05</v>
      </c>
      <c r="D62" s="26">
        <f t="shared" si="8"/>
        <v>-9.8664292074799598E-2</v>
      </c>
      <c r="E62" s="40">
        <f t="shared" si="9"/>
        <v>35</v>
      </c>
      <c r="F62" s="25">
        <f t="shared" si="10"/>
        <v>9826.25</v>
      </c>
      <c r="G62" s="25">
        <f t="shared" si="11"/>
        <v>8856.75</v>
      </c>
    </row>
    <row r="63" spans="1:7" ht="15" customHeight="1" x14ac:dyDescent="0.3">
      <c r="A63" s="29" t="s">
        <v>120</v>
      </c>
      <c r="B63" s="20">
        <v>303.55</v>
      </c>
      <c r="C63" s="20">
        <v>315.55</v>
      </c>
      <c r="D63" s="21">
        <f t="shared" si="8"/>
        <v>3.9532202273101627E-2</v>
      </c>
      <c r="E63" s="39">
        <f t="shared" si="9"/>
        <v>32</v>
      </c>
      <c r="F63" s="20">
        <f t="shared" si="10"/>
        <v>9713.6</v>
      </c>
      <c r="G63" s="20">
        <f t="shared" si="11"/>
        <v>10097.6</v>
      </c>
    </row>
    <row r="64" spans="1:7" ht="15" customHeight="1" x14ac:dyDescent="0.3">
      <c r="A64" s="31" t="s">
        <v>123</v>
      </c>
      <c r="B64" s="25">
        <v>431.65</v>
      </c>
      <c r="C64" s="25">
        <v>433.1</v>
      </c>
      <c r="D64" s="26">
        <f t="shared" si="8"/>
        <v>3.3592030580332343E-3</v>
      </c>
      <c r="E64" s="40">
        <f t="shared" si="9"/>
        <v>23</v>
      </c>
      <c r="F64" s="25">
        <f t="shared" si="10"/>
        <v>9927.9499999999989</v>
      </c>
      <c r="G64" s="25">
        <f t="shared" si="11"/>
        <v>9961.3000000000011</v>
      </c>
    </row>
    <row r="65" spans="1:7" ht="15" customHeight="1" x14ac:dyDescent="0.3">
      <c r="A65" s="29" t="s">
        <v>106</v>
      </c>
      <c r="B65" s="20">
        <v>439.05</v>
      </c>
      <c r="C65" s="20">
        <v>427.65</v>
      </c>
      <c r="D65" s="21">
        <f t="shared" si="8"/>
        <v>-2.5965152032798165E-2</v>
      </c>
      <c r="E65" s="39">
        <f t="shared" si="9"/>
        <v>22</v>
      </c>
      <c r="F65" s="20">
        <f t="shared" si="10"/>
        <v>9659.1</v>
      </c>
      <c r="G65" s="20">
        <f t="shared" si="11"/>
        <v>9408.2999999999993</v>
      </c>
    </row>
    <row r="66" spans="1:7" ht="15" customHeight="1" x14ac:dyDescent="0.3">
      <c r="A66" s="31" t="s">
        <v>147</v>
      </c>
      <c r="B66" s="25">
        <v>533.15</v>
      </c>
      <c r="C66" s="25">
        <v>518.35</v>
      </c>
      <c r="D66" s="26">
        <f t="shared" si="8"/>
        <v>-2.7759542342680212E-2</v>
      </c>
      <c r="E66" s="40">
        <f t="shared" si="9"/>
        <v>18</v>
      </c>
      <c r="F66" s="25">
        <f t="shared" si="10"/>
        <v>9596.6999999999989</v>
      </c>
      <c r="G66" s="25">
        <f t="shared" si="11"/>
        <v>9330.3000000000011</v>
      </c>
    </row>
    <row r="67" spans="1:7" ht="15" customHeight="1" x14ac:dyDescent="0.3">
      <c r="A67" s="29" t="s">
        <v>148</v>
      </c>
      <c r="B67" s="20">
        <v>1162</v>
      </c>
      <c r="C67" s="20">
        <v>1186.5</v>
      </c>
      <c r="D67" s="21">
        <f t="shared" si="8"/>
        <v>2.1084337349397589E-2</v>
      </c>
      <c r="E67" s="39">
        <f t="shared" si="9"/>
        <v>8</v>
      </c>
      <c r="F67" s="20">
        <f t="shared" si="10"/>
        <v>9296</v>
      </c>
      <c r="G67" s="20">
        <f t="shared" si="11"/>
        <v>9492</v>
      </c>
    </row>
    <row r="68" spans="1:7" ht="15" customHeight="1" x14ac:dyDescent="0.3">
      <c r="A68" s="31" t="s">
        <v>149</v>
      </c>
      <c r="B68" s="25">
        <v>2947</v>
      </c>
      <c r="C68" s="25">
        <v>2840.7</v>
      </c>
      <c r="D68" s="26">
        <f t="shared" si="8"/>
        <v>-3.6070580251102879E-2</v>
      </c>
      <c r="E68" s="40">
        <f t="shared" si="9"/>
        <v>3</v>
      </c>
      <c r="F68" s="25">
        <f t="shared" si="10"/>
        <v>8841</v>
      </c>
      <c r="G68" s="25">
        <f t="shared" si="11"/>
        <v>8522.0999999999985</v>
      </c>
    </row>
    <row r="69" spans="1:7" ht="15" customHeight="1" x14ac:dyDescent="0.3">
      <c r="A69" s="29" t="s">
        <v>71</v>
      </c>
      <c r="B69" s="20">
        <v>4794.3</v>
      </c>
      <c r="C69" s="20">
        <v>4909.8999999999996</v>
      </c>
      <c r="D69" s="21">
        <f t="shared" si="8"/>
        <v>2.411196629330652E-2</v>
      </c>
      <c r="E69" s="39">
        <f t="shared" si="9"/>
        <v>2</v>
      </c>
      <c r="F69" s="20">
        <f t="shared" si="10"/>
        <v>9588.6</v>
      </c>
      <c r="G69" s="20">
        <f t="shared" si="11"/>
        <v>9819.7999999999993</v>
      </c>
    </row>
    <row r="70" spans="1:7" ht="15" customHeight="1" x14ac:dyDescent="0.3">
      <c r="A70" s="31" t="s">
        <v>150</v>
      </c>
      <c r="B70" s="25">
        <v>9716</v>
      </c>
      <c r="C70" s="25">
        <v>10443</v>
      </c>
      <c r="D70" s="26">
        <f t="shared" si="8"/>
        <v>7.4825030876904078E-2</v>
      </c>
      <c r="E70" s="40">
        <f t="shared" si="9"/>
        <v>1</v>
      </c>
      <c r="F70" s="25">
        <f t="shared" si="10"/>
        <v>9716</v>
      </c>
      <c r="G70" s="25">
        <f t="shared" si="11"/>
        <v>10443</v>
      </c>
    </row>
    <row r="71" spans="1:7" ht="15" customHeight="1" x14ac:dyDescent="0.3">
      <c r="A71" s="41" t="s">
        <v>75</v>
      </c>
      <c r="B71" s="42"/>
      <c r="C71" s="42"/>
      <c r="D71" s="42"/>
      <c r="E71" s="42"/>
      <c r="F71" s="43">
        <f>SUM(F57:F70)</f>
        <v>134726.25</v>
      </c>
      <c r="G71" s="43">
        <f>SUM(G57:G70)</f>
        <v>135293.5</v>
      </c>
    </row>
    <row r="73" spans="1:7" ht="18" customHeight="1" x14ac:dyDescent="0.3">
      <c r="A73" s="10" t="s">
        <v>85</v>
      </c>
      <c r="B73" s="10"/>
      <c r="C73" s="10"/>
      <c r="D73" s="10"/>
      <c r="E73" s="10"/>
      <c r="F73" s="10"/>
      <c r="G73" s="10"/>
    </row>
    <row r="74" spans="1:7" ht="15" customHeight="1" x14ac:dyDescent="0.3">
      <c r="A74" s="9" t="s">
        <v>77</v>
      </c>
      <c r="B74" s="9"/>
      <c r="C74" s="9"/>
      <c r="D74" s="9"/>
      <c r="E74" s="9"/>
      <c r="F74" s="9"/>
      <c r="G74" s="9"/>
    </row>
    <row r="75" spans="1:7" ht="15.75" customHeight="1" x14ac:dyDescent="0.3">
      <c r="A75" s="36" t="s">
        <v>19</v>
      </c>
      <c r="B75" s="8" t="s">
        <v>52</v>
      </c>
      <c r="C75" s="8"/>
      <c r="D75" s="8" t="s">
        <v>53</v>
      </c>
      <c r="E75" s="8"/>
      <c r="F75" s="8" t="s">
        <v>86</v>
      </c>
      <c r="G75" s="8"/>
    </row>
    <row r="76" spans="1:7" ht="21.75" customHeight="1" x14ac:dyDescent="0.3">
      <c r="A76" s="37">
        <f>COUNT(B80:B93)</f>
        <v>14</v>
      </c>
      <c r="B76" s="7">
        <f>F94</f>
        <v>134726.25</v>
      </c>
      <c r="C76" s="7"/>
      <c r="D76" s="7">
        <f>G94</f>
        <v>134338.74</v>
      </c>
      <c r="E76" s="7"/>
      <c r="F76" s="6">
        <f>(G94-F94)/F94</f>
        <v>-2.8762768948145541E-3</v>
      </c>
      <c r="G76" s="6"/>
    </row>
    <row r="78" spans="1:7" ht="18" customHeight="1" x14ac:dyDescent="0.3">
      <c r="A78" s="10" t="s">
        <v>87</v>
      </c>
      <c r="B78" s="10"/>
      <c r="C78" s="10"/>
      <c r="D78" s="10"/>
      <c r="E78" s="10"/>
      <c r="F78" s="10"/>
      <c r="G78" s="10"/>
    </row>
    <row r="79" spans="1:7" ht="15" customHeight="1" x14ac:dyDescent="0.3">
      <c r="A79" s="36" t="s">
        <v>58</v>
      </c>
      <c r="B79" s="36" t="s">
        <v>59</v>
      </c>
      <c r="C79" s="36" t="s">
        <v>88</v>
      </c>
      <c r="D79" s="36" t="s">
        <v>61</v>
      </c>
      <c r="E79" s="36" t="s">
        <v>62</v>
      </c>
      <c r="F79" s="36" t="s">
        <v>63</v>
      </c>
      <c r="G79" s="36" t="s">
        <v>53</v>
      </c>
    </row>
    <row r="80" spans="1:7" ht="15" customHeight="1" x14ac:dyDescent="0.3">
      <c r="A80" s="29" t="s">
        <v>144</v>
      </c>
      <c r="B80" s="20">
        <v>32.53</v>
      </c>
      <c r="C80" s="20">
        <v>31.03</v>
      </c>
      <c r="D80" s="21">
        <f t="shared" ref="D80:D93" si="12">(C80-B80)/B80</f>
        <v>-4.6111281893636641E-2</v>
      </c>
      <c r="E80" s="39">
        <f t="shared" ref="E80:E93" si="13">ROUND($B$24/B80,0)</f>
        <v>299</v>
      </c>
      <c r="F80" s="20">
        <f t="shared" ref="F80:F93" si="14">B80*E80</f>
        <v>9726.4700000000012</v>
      </c>
      <c r="G80" s="20">
        <f t="shared" ref="G80:G93" si="15">C80*E80</f>
        <v>9277.9700000000012</v>
      </c>
    </row>
    <row r="81" spans="1:7" ht="15" customHeight="1" x14ac:dyDescent="0.3">
      <c r="A81" s="31" t="s">
        <v>100</v>
      </c>
      <c r="B81" s="25">
        <v>85.16</v>
      </c>
      <c r="C81" s="25">
        <v>83.56</v>
      </c>
      <c r="D81" s="26">
        <f t="shared" si="12"/>
        <v>-1.8788163457022011E-2</v>
      </c>
      <c r="E81" s="40">
        <f t="shared" si="13"/>
        <v>114</v>
      </c>
      <c r="F81" s="25">
        <f t="shared" si="14"/>
        <v>9708.24</v>
      </c>
      <c r="G81" s="25">
        <f t="shared" si="15"/>
        <v>9525.84</v>
      </c>
    </row>
    <row r="82" spans="1:7" ht="15" customHeight="1" x14ac:dyDescent="0.3">
      <c r="A82" s="29" t="s">
        <v>145</v>
      </c>
      <c r="B82" s="20">
        <v>124.13</v>
      </c>
      <c r="C82" s="20">
        <v>128.05000000000001</v>
      </c>
      <c r="D82" s="21">
        <f t="shared" si="12"/>
        <v>3.157979537581581E-2</v>
      </c>
      <c r="E82" s="39">
        <f t="shared" si="13"/>
        <v>78</v>
      </c>
      <c r="F82" s="20">
        <f t="shared" si="14"/>
        <v>9682.14</v>
      </c>
      <c r="G82" s="20">
        <f t="shared" si="15"/>
        <v>9987.9000000000015</v>
      </c>
    </row>
    <row r="83" spans="1:7" ht="15" customHeight="1" x14ac:dyDescent="0.3">
      <c r="A83" s="31" t="s">
        <v>119</v>
      </c>
      <c r="B83" s="25">
        <v>139.38</v>
      </c>
      <c r="C83" s="25">
        <v>138.47</v>
      </c>
      <c r="D83" s="26">
        <f t="shared" si="12"/>
        <v>-6.5289137609412873E-3</v>
      </c>
      <c r="E83" s="40">
        <f t="shared" si="13"/>
        <v>70</v>
      </c>
      <c r="F83" s="25">
        <f t="shared" si="14"/>
        <v>9756.6</v>
      </c>
      <c r="G83" s="25">
        <f t="shared" si="15"/>
        <v>9692.9</v>
      </c>
    </row>
    <row r="84" spans="1:7" ht="15" customHeight="1" x14ac:dyDescent="0.3">
      <c r="A84" s="29" t="s">
        <v>146</v>
      </c>
      <c r="B84" s="20">
        <v>140.4</v>
      </c>
      <c r="C84" s="20">
        <v>142.62</v>
      </c>
      <c r="D84" s="21">
        <f t="shared" si="12"/>
        <v>1.5811965811965804E-2</v>
      </c>
      <c r="E84" s="39">
        <f t="shared" si="13"/>
        <v>69</v>
      </c>
      <c r="F84" s="20">
        <f t="shared" si="14"/>
        <v>9687.6</v>
      </c>
      <c r="G84" s="20">
        <f t="shared" si="15"/>
        <v>9840.7800000000007</v>
      </c>
    </row>
    <row r="85" spans="1:7" ht="15" customHeight="1" x14ac:dyDescent="0.3">
      <c r="A85" s="31" t="s">
        <v>64</v>
      </c>
      <c r="B85" s="25">
        <v>280.75</v>
      </c>
      <c r="C85" s="25">
        <v>264.64999999999998</v>
      </c>
      <c r="D85" s="26">
        <f t="shared" si="12"/>
        <v>-5.7346393588602038E-2</v>
      </c>
      <c r="E85" s="40">
        <f t="shared" si="13"/>
        <v>35</v>
      </c>
      <c r="F85" s="25">
        <f t="shared" si="14"/>
        <v>9826.25</v>
      </c>
      <c r="G85" s="25">
        <f t="shared" si="15"/>
        <v>9262.75</v>
      </c>
    </row>
    <row r="86" spans="1:7" ht="15" customHeight="1" x14ac:dyDescent="0.3">
      <c r="A86" s="29" t="s">
        <v>120</v>
      </c>
      <c r="B86" s="20">
        <v>303.55</v>
      </c>
      <c r="C86" s="20">
        <v>310.14999999999998</v>
      </c>
      <c r="D86" s="21">
        <f t="shared" si="12"/>
        <v>2.1742711250205785E-2</v>
      </c>
      <c r="E86" s="39">
        <f t="shared" si="13"/>
        <v>32</v>
      </c>
      <c r="F86" s="20">
        <f t="shared" si="14"/>
        <v>9713.6</v>
      </c>
      <c r="G86" s="20">
        <f t="shared" si="15"/>
        <v>9924.7999999999993</v>
      </c>
    </row>
    <row r="87" spans="1:7" ht="15" customHeight="1" x14ac:dyDescent="0.3">
      <c r="A87" s="31" t="s">
        <v>123</v>
      </c>
      <c r="B87" s="25">
        <v>431.65</v>
      </c>
      <c r="C87" s="25">
        <v>421.3</v>
      </c>
      <c r="D87" s="26">
        <f t="shared" si="12"/>
        <v>-2.397775975906398E-2</v>
      </c>
      <c r="E87" s="40">
        <f t="shared" si="13"/>
        <v>23</v>
      </c>
      <c r="F87" s="25">
        <f t="shared" si="14"/>
        <v>9927.9499999999989</v>
      </c>
      <c r="G87" s="25">
        <f t="shared" si="15"/>
        <v>9689.9</v>
      </c>
    </row>
    <row r="88" spans="1:7" ht="15" customHeight="1" x14ac:dyDescent="0.3">
      <c r="A88" s="29" t="s">
        <v>106</v>
      </c>
      <c r="B88" s="20">
        <v>439.05</v>
      </c>
      <c r="C88" s="20">
        <v>427.4</v>
      </c>
      <c r="D88" s="21">
        <f t="shared" si="12"/>
        <v>-2.6534563261587596E-2</v>
      </c>
      <c r="E88" s="39">
        <f t="shared" si="13"/>
        <v>22</v>
      </c>
      <c r="F88" s="20">
        <f t="shared" si="14"/>
        <v>9659.1</v>
      </c>
      <c r="G88" s="20">
        <f t="shared" si="15"/>
        <v>9402.7999999999993</v>
      </c>
    </row>
    <row r="89" spans="1:7" ht="15" customHeight="1" x14ac:dyDescent="0.3">
      <c r="A89" s="31" t="s">
        <v>147</v>
      </c>
      <c r="B89" s="25">
        <v>533.15</v>
      </c>
      <c r="C89" s="25">
        <v>531.95000000000005</v>
      </c>
      <c r="D89" s="26">
        <f t="shared" si="12"/>
        <v>-2.2507737034604368E-3</v>
      </c>
      <c r="E89" s="40">
        <f t="shared" si="13"/>
        <v>18</v>
      </c>
      <c r="F89" s="25">
        <f t="shared" si="14"/>
        <v>9596.6999999999989</v>
      </c>
      <c r="G89" s="25">
        <f t="shared" si="15"/>
        <v>9575.1</v>
      </c>
    </row>
    <row r="90" spans="1:7" ht="15" customHeight="1" x14ac:dyDescent="0.3">
      <c r="A90" s="29" t="s">
        <v>148</v>
      </c>
      <c r="B90" s="20">
        <v>1162</v>
      </c>
      <c r="C90" s="20">
        <v>1112.5</v>
      </c>
      <c r="D90" s="21">
        <f t="shared" si="12"/>
        <v>-4.2598967297762476E-2</v>
      </c>
      <c r="E90" s="39">
        <f t="shared" si="13"/>
        <v>8</v>
      </c>
      <c r="F90" s="20">
        <f t="shared" si="14"/>
        <v>9296</v>
      </c>
      <c r="G90" s="20">
        <f t="shared" si="15"/>
        <v>8900</v>
      </c>
    </row>
    <row r="91" spans="1:7" ht="15" customHeight="1" x14ac:dyDescent="0.3">
      <c r="A91" s="31" t="s">
        <v>149</v>
      </c>
      <c r="B91" s="25">
        <v>2947</v>
      </c>
      <c r="C91" s="25">
        <v>2702</v>
      </c>
      <c r="D91" s="26">
        <f t="shared" si="12"/>
        <v>-8.3135391923990498E-2</v>
      </c>
      <c r="E91" s="40">
        <f t="shared" si="13"/>
        <v>3</v>
      </c>
      <c r="F91" s="25">
        <f t="shared" si="14"/>
        <v>8841</v>
      </c>
      <c r="G91" s="25">
        <f t="shared" si="15"/>
        <v>8106</v>
      </c>
    </row>
    <row r="92" spans="1:7" ht="15" customHeight="1" x14ac:dyDescent="0.3">
      <c r="A92" s="29" t="s">
        <v>71</v>
      </c>
      <c r="B92" s="20">
        <v>4794.3</v>
      </c>
      <c r="C92" s="20">
        <v>5011</v>
      </c>
      <c r="D92" s="21">
        <f t="shared" si="12"/>
        <v>4.5199507748784978E-2</v>
      </c>
      <c r="E92" s="39">
        <f t="shared" si="13"/>
        <v>2</v>
      </c>
      <c r="F92" s="20">
        <f t="shared" si="14"/>
        <v>9588.6</v>
      </c>
      <c r="G92" s="20">
        <f t="shared" si="15"/>
        <v>10022</v>
      </c>
    </row>
    <row r="93" spans="1:7" ht="15" customHeight="1" x14ac:dyDescent="0.3">
      <c r="A93" s="31" t="s">
        <v>150</v>
      </c>
      <c r="B93" s="25">
        <v>9716</v>
      </c>
      <c r="C93" s="25">
        <v>11130</v>
      </c>
      <c r="D93" s="26">
        <f t="shared" si="12"/>
        <v>0.14553314121037464</v>
      </c>
      <c r="E93" s="40">
        <f t="shared" si="13"/>
        <v>1</v>
      </c>
      <c r="F93" s="25">
        <f t="shared" si="14"/>
        <v>9716</v>
      </c>
      <c r="G93" s="25">
        <f t="shared" si="15"/>
        <v>11130</v>
      </c>
    </row>
    <row r="94" spans="1:7" ht="15" customHeight="1" x14ac:dyDescent="0.3">
      <c r="A94" s="41" t="s">
        <v>75</v>
      </c>
      <c r="B94" s="42"/>
      <c r="C94" s="42"/>
      <c r="D94" s="42"/>
      <c r="E94" s="42"/>
      <c r="F94" s="43">
        <f>SUM(F80:F93)</f>
        <v>134726.25</v>
      </c>
      <c r="G94" s="43">
        <f>SUM(G80:G93)</f>
        <v>134338.74</v>
      </c>
    </row>
    <row r="96" spans="1:7" ht="18" customHeight="1" x14ac:dyDescent="0.3">
      <c r="A96" s="10" t="s">
        <v>89</v>
      </c>
      <c r="B96" s="10"/>
      <c r="C96" s="10"/>
      <c r="D96" s="10"/>
      <c r="E96" s="10"/>
      <c r="F96" s="10"/>
      <c r="G96" s="10"/>
    </row>
    <row r="97" spans="1:7" ht="15" customHeight="1" x14ac:dyDescent="0.3">
      <c r="A97" s="9" t="s">
        <v>77</v>
      </c>
      <c r="B97" s="9"/>
      <c r="C97" s="9"/>
      <c r="D97" s="9"/>
      <c r="E97" s="9"/>
      <c r="F97" s="9"/>
      <c r="G97" s="9"/>
    </row>
    <row r="98" spans="1:7" ht="15.75" customHeight="1" x14ac:dyDescent="0.3">
      <c r="A98" s="36" t="s">
        <v>19</v>
      </c>
      <c r="B98" s="8" t="s">
        <v>52</v>
      </c>
      <c r="C98" s="8"/>
      <c r="D98" s="8" t="s">
        <v>53</v>
      </c>
      <c r="E98" s="8"/>
      <c r="F98" s="8" t="s">
        <v>90</v>
      </c>
      <c r="G98" s="8"/>
    </row>
    <row r="99" spans="1:7" ht="21.75" customHeight="1" x14ac:dyDescent="0.3">
      <c r="A99" s="37">
        <f>COUNT(B103:B116)</f>
        <v>14</v>
      </c>
      <c r="B99" s="7">
        <f>F117</f>
        <v>134726.25</v>
      </c>
      <c r="C99" s="7"/>
      <c r="D99" s="7">
        <f>G117</f>
        <v>135717.01</v>
      </c>
      <c r="E99" s="7"/>
      <c r="F99" s="6">
        <f>(G117-F117)/F117</f>
        <v>7.3538749872427188E-3</v>
      </c>
      <c r="G99" s="6"/>
    </row>
    <row r="101" spans="1:7" ht="18" customHeight="1" x14ac:dyDescent="0.3">
      <c r="A101" s="10" t="s">
        <v>91</v>
      </c>
      <c r="B101" s="10"/>
      <c r="C101" s="10"/>
      <c r="D101" s="10"/>
      <c r="E101" s="10"/>
      <c r="F101" s="10"/>
      <c r="G101" s="10"/>
    </row>
    <row r="102" spans="1:7" ht="15" customHeight="1" x14ac:dyDescent="0.3">
      <c r="A102" s="36" t="s">
        <v>58</v>
      </c>
      <c r="B102" s="36" t="s">
        <v>59</v>
      </c>
      <c r="C102" s="36" t="s">
        <v>92</v>
      </c>
      <c r="D102" s="36" t="s">
        <v>61</v>
      </c>
      <c r="E102" s="36" t="s">
        <v>62</v>
      </c>
      <c r="F102" s="36" t="s">
        <v>63</v>
      </c>
      <c r="G102" s="36" t="s">
        <v>53</v>
      </c>
    </row>
    <row r="103" spans="1:7" ht="15" customHeight="1" x14ac:dyDescent="0.3">
      <c r="A103" s="29" t="s">
        <v>144</v>
      </c>
      <c r="B103" s="20">
        <v>32.53</v>
      </c>
      <c r="C103" s="20">
        <v>30.97</v>
      </c>
      <c r="D103" s="21">
        <f t="shared" ref="D103:D116" si="16">(C103-B103)/B103</f>
        <v>-4.7955733169382175E-2</v>
      </c>
      <c r="E103" s="39">
        <f t="shared" ref="E103:E116" si="17">ROUND($B$24/B103,0)</f>
        <v>299</v>
      </c>
      <c r="F103" s="20">
        <f t="shared" ref="F103:F116" si="18">B103*E103</f>
        <v>9726.4700000000012</v>
      </c>
      <c r="G103" s="20">
        <f t="shared" ref="G103:G116" si="19">C103*E103</f>
        <v>9260.0299999999988</v>
      </c>
    </row>
    <row r="104" spans="1:7" ht="15" customHeight="1" x14ac:dyDescent="0.3">
      <c r="A104" s="31" t="s">
        <v>100</v>
      </c>
      <c r="B104" s="25">
        <v>85.16</v>
      </c>
      <c r="C104" s="25">
        <v>85.04</v>
      </c>
      <c r="D104" s="26">
        <f t="shared" si="16"/>
        <v>-1.4091122592765422E-3</v>
      </c>
      <c r="E104" s="40">
        <f t="shared" si="17"/>
        <v>114</v>
      </c>
      <c r="F104" s="25">
        <f t="shared" si="18"/>
        <v>9708.24</v>
      </c>
      <c r="G104" s="25">
        <f t="shared" si="19"/>
        <v>9694.5600000000013</v>
      </c>
    </row>
    <row r="105" spans="1:7" ht="15" customHeight="1" x14ac:dyDescent="0.3">
      <c r="A105" s="29" t="s">
        <v>145</v>
      </c>
      <c r="B105" s="20">
        <v>124.13</v>
      </c>
      <c r="C105" s="20">
        <v>124.89</v>
      </c>
      <c r="D105" s="21">
        <f t="shared" si="16"/>
        <v>6.1226133891887947E-3</v>
      </c>
      <c r="E105" s="39">
        <f t="shared" si="17"/>
        <v>78</v>
      </c>
      <c r="F105" s="20">
        <f t="shared" si="18"/>
        <v>9682.14</v>
      </c>
      <c r="G105" s="20">
        <f t="shared" si="19"/>
        <v>9741.42</v>
      </c>
    </row>
    <row r="106" spans="1:7" ht="15" customHeight="1" x14ac:dyDescent="0.3">
      <c r="A106" s="31" t="s">
        <v>119</v>
      </c>
      <c r="B106" s="25">
        <v>139.38</v>
      </c>
      <c r="C106" s="25">
        <v>140.16999999999999</v>
      </c>
      <c r="D106" s="26">
        <f t="shared" si="16"/>
        <v>5.6679581001577847E-3</v>
      </c>
      <c r="E106" s="40">
        <f t="shared" si="17"/>
        <v>70</v>
      </c>
      <c r="F106" s="25">
        <f t="shared" si="18"/>
        <v>9756.6</v>
      </c>
      <c r="G106" s="25">
        <f t="shared" si="19"/>
        <v>9811.9</v>
      </c>
    </row>
    <row r="107" spans="1:7" ht="15" customHeight="1" x14ac:dyDescent="0.3">
      <c r="A107" s="29" t="s">
        <v>146</v>
      </c>
      <c r="B107" s="20">
        <v>140.4</v>
      </c>
      <c r="C107" s="20">
        <v>137.94999999999999</v>
      </c>
      <c r="D107" s="21">
        <f t="shared" si="16"/>
        <v>-1.7450142450142571E-2</v>
      </c>
      <c r="E107" s="39">
        <f t="shared" si="17"/>
        <v>69</v>
      </c>
      <c r="F107" s="20">
        <f t="shared" si="18"/>
        <v>9687.6</v>
      </c>
      <c r="G107" s="20">
        <f t="shared" si="19"/>
        <v>9518.5499999999993</v>
      </c>
    </row>
    <row r="108" spans="1:7" ht="15" customHeight="1" x14ac:dyDescent="0.3">
      <c r="A108" s="31" t="s">
        <v>64</v>
      </c>
      <c r="B108" s="25">
        <v>280.75</v>
      </c>
      <c r="C108" s="25">
        <v>264.25</v>
      </c>
      <c r="D108" s="26">
        <f t="shared" si="16"/>
        <v>-5.8771148708815675E-2</v>
      </c>
      <c r="E108" s="40">
        <f t="shared" si="17"/>
        <v>35</v>
      </c>
      <c r="F108" s="25">
        <f t="shared" si="18"/>
        <v>9826.25</v>
      </c>
      <c r="G108" s="25">
        <f t="shared" si="19"/>
        <v>9248.75</v>
      </c>
    </row>
    <row r="109" spans="1:7" ht="15" customHeight="1" x14ac:dyDescent="0.3">
      <c r="A109" s="29" t="s">
        <v>120</v>
      </c>
      <c r="B109" s="20">
        <v>303.55</v>
      </c>
      <c r="C109" s="20">
        <v>319.75</v>
      </c>
      <c r="D109" s="21">
        <f t="shared" si="16"/>
        <v>5.336847306868716E-2</v>
      </c>
      <c r="E109" s="39">
        <f t="shared" si="17"/>
        <v>32</v>
      </c>
      <c r="F109" s="20">
        <f t="shared" si="18"/>
        <v>9713.6</v>
      </c>
      <c r="G109" s="20">
        <f t="shared" si="19"/>
        <v>10232</v>
      </c>
    </row>
    <row r="110" spans="1:7" ht="15" customHeight="1" x14ac:dyDescent="0.3">
      <c r="A110" s="31" t="s">
        <v>123</v>
      </c>
      <c r="B110" s="25">
        <v>431.65</v>
      </c>
      <c r="C110" s="25">
        <v>424.7</v>
      </c>
      <c r="D110" s="26">
        <f t="shared" si="16"/>
        <v>-1.6101007760917385E-2</v>
      </c>
      <c r="E110" s="40">
        <f t="shared" si="17"/>
        <v>23</v>
      </c>
      <c r="F110" s="25">
        <f t="shared" si="18"/>
        <v>9927.9499999999989</v>
      </c>
      <c r="G110" s="25">
        <f t="shared" si="19"/>
        <v>9768.1</v>
      </c>
    </row>
    <row r="111" spans="1:7" ht="15" customHeight="1" x14ac:dyDescent="0.3">
      <c r="A111" s="29" t="s">
        <v>106</v>
      </c>
      <c r="B111" s="20">
        <v>439.05</v>
      </c>
      <c r="C111" s="20">
        <v>414.15</v>
      </c>
      <c r="D111" s="21">
        <f t="shared" si="16"/>
        <v>-5.6713358387427477E-2</v>
      </c>
      <c r="E111" s="39">
        <f t="shared" si="17"/>
        <v>22</v>
      </c>
      <c r="F111" s="20">
        <f t="shared" si="18"/>
        <v>9659.1</v>
      </c>
      <c r="G111" s="20">
        <f t="shared" si="19"/>
        <v>9111.2999999999993</v>
      </c>
    </row>
    <row r="112" spans="1:7" ht="15" customHeight="1" x14ac:dyDescent="0.3">
      <c r="A112" s="31" t="s">
        <v>147</v>
      </c>
      <c r="B112" s="25">
        <v>533.15</v>
      </c>
      <c r="C112" s="25">
        <v>539.20000000000005</v>
      </c>
      <c r="D112" s="26">
        <f t="shared" si="16"/>
        <v>1.1347650754947142E-2</v>
      </c>
      <c r="E112" s="40">
        <f t="shared" si="17"/>
        <v>18</v>
      </c>
      <c r="F112" s="25">
        <f t="shared" si="18"/>
        <v>9596.6999999999989</v>
      </c>
      <c r="G112" s="25">
        <f t="shared" si="19"/>
        <v>9705.6</v>
      </c>
    </row>
    <row r="113" spans="1:7" ht="15" customHeight="1" x14ac:dyDescent="0.3">
      <c r="A113" s="29" t="s">
        <v>148</v>
      </c>
      <c r="B113" s="20">
        <v>1162</v>
      </c>
      <c r="C113" s="20">
        <v>1161.4000000000001</v>
      </c>
      <c r="D113" s="21">
        <f t="shared" si="16"/>
        <v>-5.163511187606791E-4</v>
      </c>
      <c r="E113" s="39">
        <f t="shared" si="17"/>
        <v>8</v>
      </c>
      <c r="F113" s="20">
        <f t="shared" si="18"/>
        <v>9296</v>
      </c>
      <c r="G113" s="20">
        <f t="shared" si="19"/>
        <v>9291.2000000000007</v>
      </c>
    </row>
    <row r="114" spans="1:7" ht="15" customHeight="1" x14ac:dyDescent="0.3">
      <c r="A114" s="31" t="s">
        <v>149</v>
      </c>
      <c r="B114" s="25">
        <v>2947</v>
      </c>
      <c r="C114" s="25">
        <v>2680.2</v>
      </c>
      <c r="D114" s="26">
        <f t="shared" si="16"/>
        <v>-9.0532745164574199E-2</v>
      </c>
      <c r="E114" s="40">
        <f t="shared" si="17"/>
        <v>3</v>
      </c>
      <c r="F114" s="25">
        <f t="shared" si="18"/>
        <v>8841</v>
      </c>
      <c r="G114" s="25">
        <f t="shared" si="19"/>
        <v>8040.5999999999995</v>
      </c>
    </row>
    <row r="115" spans="1:7" ht="15" customHeight="1" x14ac:dyDescent="0.3">
      <c r="A115" s="29" t="s">
        <v>71</v>
      </c>
      <c r="B115" s="20">
        <v>4794.3</v>
      </c>
      <c r="C115" s="20">
        <v>5386</v>
      </c>
      <c r="D115" s="21">
        <f t="shared" si="16"/>
        <v>0.12341739148572259</v>
      </c>
      <c r="E115" s="39">
        <f t="shared" si="17"/>
        <v>2</v>
      </c>
      <c r="F115" s="20">
        <f t="shared" si="18"/>
        <v>9588.6</v>
      </c>
      <c r="G115" s="20">
        <f t="shared" si="19"/>
        <v>10772</v>
      </c>
    </row>
    <row r="116" spans="1:7" ht="15" customHeight="1" x14ac:dyDescent="0.3">
      <c r="A116" s="31" t="s">
        <v>150</v>
      </c>
      <c r="B116" s="25">
        <v>9716</v>
      </c>
      <c r="C116" s="25">
        <v>11521</v>
      </c>
      <c r="D116" s="26">
        <f t="shared" si="16"/>
        <v>0.18577603952243721</v>
      </c>
      <c r="E116" s="40">
        <f t="shared" si="17"/>
        <v>1</v>
      </c>
      <c r="F116" s="25">
        <f t="shared" si="18"/>
        <v>9716</v>
      </c>
      <c r="G116" s="25">
        <f t="shared" si="19"/>
        <v>11521</v>
      </c>
    </row>
    <row r="117" spans="1:7" ht="15" customHeight="1" x14ac:dyDescent="0.3">
      <c r="A117" s="41" t="s">
        <v>75</v>
      </c>
      <c r="B117" s="42"/>
      <c r="C117" s="42"/>
      <c r="D117" s="42"/>
      <c r="E117" s="42"/>
      <c r="F117" s="43">
        <f>SUM(F103:F116)</f>
        <v>134726.25</v>
      </c>
      <c r="G117" s="43">
        <f>SUM(G103:G116)</f>
        <v>135717.01</v>
      </c>
    </row>
    <row r="119" spans="1:7" ht="39.75" customHeight="1" x14ac:dyDescent="0.3">
      <c r="A119" s="5" t="s">
        <v>93</v>
      </c>
      <c r="B119" s="5"/>
      <c r="C119" s="5"/>
      <c r="D119" s="5"/>
      <c r="E119" s="5"/>
      <c r="F119" s="5"/>
      <c r="G119" s="5"/>
    </row>
  </sheetData>
  <mergeCells count="48">
    <mergeCell ref="B99:C99"/>
    <mergeCell ref="D99:E99"/>
    <mergeCell ref="F99:G99"/>
    <mergeCell ref="A101:G101"/>
    <mergeCell ref="A119:G119"/>
    <mergeCell ref="A78:G78"/>
    <mergeCell ref="A96:G96"/>
    <mergeCell ref="A97:G97"/>
    <mergeCell ref="B98:C98"/>
    <mergeCell ref="D98:E98"/>
    <mergeCell ref="F98:G98"/>
    <mergeCell ref="A74:G74"/>
    <mergeCell ref="B75:C75"/>
    <mergeCell ref="D75:E75"/>
    <mergeCell ref="F75:G75"/>
    <mergeCell ref="B76:C76"/>
    <mergeCell ref="D76:E76"/>
    <mergeCell ref="F76:G76"/>
    <mergeCell ref="B53:C53"/>
    <mergeCell ref="D53:E53"/>
    <mergeCell ref="F53:G53"/>
    <mergeCell ref="A55:G55"/>
    <mergeCell ref="A73:G73"/>
    <mergeCell ref="A32:G32"/>
    <mergeCell ref="A50:G50"/>
    <mergeCell ref="A51:G51"/>
    <mergeCell ref="B52:C52"/>
    <mergeCell ref="D52:E52"/>
    <mergeCell ref="F52:G52"/>
    <mergeCell ref="A28:G28"/>
    <mergeCell ref="B29:C29"/>
    <mergeCell ref="D29:E29"/>
    <mergeCell ref="F29:G29"/>
    <mergeCell ref="B30:C30"/>
    <mergeCell ref="D30:E30"/>
    <mergeCell ref="F30:G30"/>
    <mergeCell ref="B7:C7"/>
    <mergeCell ref="D7:E7"/>
    <mergeCell ref="F7:G7"/>
    <mergeCell ref="A9:G9"/>
    <mergeCell ref="A27:G27"/>
    <mergeCell ref="A1:G1"/>
    <mergeCell ref="A2:G2"/>
    <mergeCell ref="A4:G4"/>
    <mergeCell ref="A5:G5"/>
    <mergeCell ref="B6:C6"/>
    <mergeCell ref="D6:E6"/>
    <mergeCell ref="F6:G6"/>
  </mergeCells>
  <conditionalFormatting sqref="F7">
    <cfRule type="cellIs" dxfId="29" priority="2" operator="greaterThanOrEqual">
      <formula>0</formula>
    </cfRule>
    <cfRule type="cellIs" dxfId="28" priority="3" operator="lessThan">
      <formula>0</formula>
    </cfRule>
  </conditionalFormatting>
  <conditionalFormatting sqref="F30">
    <cfRule type="cellIs" dxfId="27" priority="4" operator="greaterThanOrEqual">
      <formula>0</formula>
    </cfRule>
    <cfRule type="cellIs" dxfId="26" priority="5" operator="lessThan">
      <formula>0</formula>
    </cfRule>
  </conditionalFormatting>
  <conditionalFormatting sqref="F53">
    <cfRule type="cellIs" dxfId="25" priority="6" operator="greaterThanOrEqual">
      <formula>0</formula>
    </cfRule>
    <cfRule type="cellIs" dxfId="24" priority="7" operator="lessThan">
      <formula>0</formula>
    </cfRule>
  </conditionalFormatting>
  <conditionalFormatting sqref="F76">
    <cfRule type="cellIs" dxfId="23" priority="8" operator="greaterThanOrEqual">
      <formula>0</formula>
    </cfRule>
    <cfRule type="cellIs" dxfId="22" priority="9" operator="lessThan">
      <formula>0</formula>
    </cfRule>
  </conditionalFormatting>
  <conditionalFormatting sqref="F99">
    <cfRule type="cellIs" dxfId="21" priority="10" operator="greaterThanOrEqual">
      <formula>0</formula>
    </cfRule>
    <cfRule type="cellIs" dxfId="2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4"/>
  <sheetViews>
    <sheetView showGridLines="0" zoomScaleNormal="100" workbookViewId="0">
      <pane ySplit="3" topLeftCell="A4" activePane="bottomLeft" state="frozen"/>
      <selection pane="bottomLeft" activeCell="I19" sqref="I19"/>
    </sheetView>
  </sheetViews>
  <sheetFormatPr defaultColWidth="8.6640625" defaultRowHeight="14.4" x14ac:dyDescent="0.3"/>
  <cols>
    <col min="1" max="1" width="34" customWidth="1"/>
    <col min="2" max="3" width="15" customWidth="1"/>
    <col min="4" max="4" width="11" customWidth="1"/>
    <col min="5" max="5" width="12" customWidth="1"/>
    <col min="6" max="7" width="16" customWidth="1"/>
    <col min="9" max="9" width="40" customWidth="1"/>
  </cols>
  <sheetData>
    <row r="1" spans="1:10" ht="25.5" customHeight="1" x14ac:dyDescent="0.3">
      <c r="A1" s="12" t="s">
        <v>151</v>
      </c>
      <c r="B1" s="12"/>
      <c r="C1" s="12"/>
      <c r="D1" s="12"/>
      <c r="E1" s="12"/>
      <c r="F1" s="12"/>
      <c r="G1" s="12"/>
    </row>
    <row r="2" spans="1:10" ht="15.75" customHeight="1" x14ac:dyDescent="0.3">
      <c r="A2" s="11" t="s">
        <v>188</v>
      </c>
      <c r="B2" s="11"/>
      <c r="C2" s="11"/>
      <c r="D2" s="11"/>
      <c r="E2" s="11"/>
      <c r="F2" s="11"/>
      <c r="G2" s="11"/>
    </row>
    <row r="4" spans="1:10" ht="18" customHeight="1" x14ac:dyDescent="0.3">
      <c r="A4" s="10" t="s">
        <v>48</v>
      </c>
      <c r="B4" s="10"/>
      <c r="C4" s="10"/>
      <c r="D4" s="10"/>
      <c r="E4" s="10"/>
      <c r="F4" s="10"/>
      <c r="G4" s="10"/>
      <c r="I4" s="33" t="s">
        <v>49</v>
      </c>
    </row>
    <row r="5" spans="1:10" ht="15" customHeight="1" x14ac:dyDescent="0.3">
      <c r="A5" s="9" t="s">
        <v>152</v>
      </c>
      <c r="B5" s="9"/>
      <c r="C5" s="9"/>
      <c r="D5" s="9"/>
      <c r="E5" s="9"/>
      <c r="F5" s="9"/>
      <c r="G5" s="9"/>
      <c r="I5" s="44" t="s">
        <v>153</v>
      </c>
    </row>
    <row r="6" spans="1:10" ht="15.75" customHeight="1" x14ac:dyDescent="0.3">
      <c r="A6" s="36" t="s">
        <v>19</v>
      </c>
      <c r="B6" s="8" t="s">
        <v>52</v>
      </c>
      <c r="C6" s="8"/>
      <c r="D6" s="8" t="s">
        <v>53</v>
      </c>
      <c r="E6" s="8"/>
      <c r="F6" s="8" t="s">
        <v>54</v>
      </c>
      <c r="G6" s="8"/>
      <c r="I6" s="34" t="s">
        <v>154</v>
      </c>
    </row>
    <row r="7" spans="1:10" ht="21.75" customHeight="1" x14ac:dyDescent="0.3">
      <c r="A7" s="37">
        <f>COUNT(B11:B25)</f>
        <v>15</v>
      </c>
      <c r="B7" s="7">
        <f>F26</f>
        <v>40620.120000000003</v>
      </c>
      <c r="C7" s="7"/>
      <c r="D7" s="7">
        <f>G26</f>
        <v>41305.65</v>
      </c>
      <c r="E7" s="7"/>
      <c r="F7" s="6">
        <f>(G26-F26)/F26</f>
        <v>1.6876611885932362E-2</v>
      </c>
      <c r="G7" s="6"/>
      <c r="I7" s="34" t="s">
        <v>155</v>
      </c>
    </row>
    <row r="8" spans="1:10" ht="16.5" customHeight="1" x14ac:dyDescent="0.3">
      <c r="I8" s="34" t="s">
        <v>51</v>
      </c>
      <c r="J8" s="35"/>
    </row>
    <row r="9" spans="1:10" ht="18" customHeight="1" x14ac:dyDescent="0.3">
      <c r="A9" s="10" t="s">
        <v>57</v>
      </c>
      <c r="B9" s="10"/>
      <c r="C9" s="10"/>
      <c r="D9" s="10"/>
      <c r="E9" s="10"/>
      <c r="F9" s="10"/>
      <c r="G9" s="10"/>
      <c r="I9" s="34" t="s">
        <v>156</v>
      </c>
      <c r="J9" s="35"/>
    </row>
    <row r="10" spans="1:10" ht="15" customHeight="1" x14ac:dyDescent="0.3">
      <c r="A10" s="36" t="s">
        <v>58</v>
      </c>
      <c r="B10" s="36" t="s">
        <v>59</v>
      </c>
      <c r="C10" s="36" t="s">
        <v>60</v>
      </c>
      <c r="D10" s="36" t="s">
        <v>61</v>
      </c>
      <c r="E10" s="36" t="s">
        <v>62</v>
      </c>
      <c r="F10" s="36" t="s">
        <v>63</v>
      </c>
      <c r="G10" s="36" t="s">
        <v>53</v>
      </c>
      <c r="I10" s="34" t="s">
        <v>157</v>
      </c>
      <c r="J10" s="35"/>
    </row>
    <row r="11" spans="1:10" ht="15" customHeight="1" x14ac:dyDescent="0.3">
      <c r="A11" s="29" t="s">
        <v>158</v>
      </c>
      <c r="B11" s="20">
        <v>27.81</v>
      </c>
      <c r="C11" s="20">
        <v>29.3</v>
      </c>
      <c r="D11" s="21">
        <f t="shared" ref="D11:D25" si="0">(C11-B11)/B11</f>
        <v>5.3577849694354626E-2</v>
      </c>
      <c r="E11" s="39">
        <f t="shared" ref="E11:E25" si="1">ROUND($B$25/B11,0)</f>
        <v>92</v>
      </c>
      <c r="F11" s="20">
        <f t="shared" ref="F11:F25" si="2">B11*E11</f>
        <v>2558.52</v>
      </c>
      <c r="G11" s="20">
        <f t="shared" ref="G11:G25" si="3">C11*E11</f>
        <v>2695.6</v>
      </c>
      <c r="I11" s="34" t="s">
        <v>159</v>
      </c>
      <c r="J11" s="35"/>
    </row>
    <row r="12" spans="1:10" ht="15" customHeight="1" x14ac:dyDescent="0.3">
      <c r="A12" s="31" t="s">
        <v>160</v>
      </c>
      <c r="B12" s="25">
        <v>84.95</v>
      </c>
      <c r="C12" s="25">
        <v>90.99</v>
      </c>
      <c r="D12" s="26">
        <f t="shared" si="0"/>
        <v>7.1100647439670303E-2</v>
      </c>
      <c r="E12" s="40">
        <f t="shared" si="1"/>
        <v>30</v>
      </c>
      <c r="F12" s="25">
        <f t="shared" si="2"/>
        <v>2548.5</v>
      </c>
      <c r="G12" s="25">
        <f t="shared" si="3"/>
        <v>2729.7</v>
      </c>
      <c r="I12" s="34" t="s">
        <v>161</v>
      </c>
      <c r="J12" s="35"/>
    </row>
    <row r="13" spans="1:10" ht="15" customHeight="1" x14ac:dyDescent="0.3">
      <c r="A13" s="29" t="s">
        <v>162</v>
      </c>
      <c r="B13" s="20">
        <v>394.05</v>
      </c>
      <c r="C13" s="20">
        <v>412.55</v>
      </c>
      <c r="D13" s="21">
        <f t="shared" si="0"/>
        <v>4.6948356807511735E-2</v>
      </c>
      <c r="E13" s="39">
        <f t="shared" si="1"/>
        <v>7</v>
      </c>
      <c r="F13" s="20">
        <f t="shared" si="2"/>
        <v>2758.35</v>
      </c>
      <c r="G13" s="20">
        <f t="shared" si="3"/>
        <v>2887.85</v>
      </c>
      <c r="I13" s="38" t="s">
        <v>163</v>
      </c>
      <c r="J13" s="35"/>
    </row>
    <row r="14" spans="1:10" ht="15" customHeight="1" x14ac:dyDescent="0.3">
      <c r="A14" s="31" t="s">
        <v>164</v>
      </c>
      <c r="B14" s="25">
        <v>454.55</v>
      </c>
      <c r="C14" s="25">
        <v>463.05</v>
      </c>
      <c r="D14" s="26">
        <f t="shared" si="0"/>
        <v>1.8699813001869982E-2</v>
      </c>
      <c r="E14" s="40">
        <f t="shared" si="1"/>
        <v>6</v>
      </c>
      <c r="F14" s="25">
        <f t="shared" si="2"/>
        <v>2727.3</v>
      </c>
      <c r="G14" s="25">
        <f t="shared" si="3"/>
        <v>2778.3</v>
      </c>
      <c r="J14" s="35"/>
    </row>
    <row r="15" spans="1:10" ht="15" customHeight="1" x14ac:dyDescent="0.3">
      <c r="A15" s="29" t="s">
        <v>165</v>
      </c>
      <c r="B15" s="20">
        <v>496.3</v>
      </c>
      <c r="C15" s="20">
        <v>508</v>
      </c>
      <c r="D15" s="21">
        <f t="shared" si="0"/>
        <v>2.3574450936933285E-2</v>
      </c>
      <c r="E15" s="39">
        <f t="shared" si="1"/>
        <v>5</v>
      </c>
      <c r="F15" s="20">
        <f t="shared" si="2"/>
        <v>2481.5</v>
      </c>
      <c r="G15" s="20">
        <f t="shared" si="3"/>
        <v>2540</v>
      </c>
      <c r="J15" s="35"/>
    </row>
    <row r="16" spans="1:10" ht="15" customHeight="1" x14ac:dyDescent="0.3">
      <c r="A16" s="31" t="s">
        <v>166</v>
      </c>
      <c r="B16" s="25">
        <v>530.1</v>
      </c>
      <c r="C16" s="25">
        <v>539.04999999999995</v>
      </c>
      <c r="D16" s="26">
        <f t="shared" si="0"/>
        <v>1.6883606866628809E-2</v>
      </c>
      <c r="E16" s="40">
        <f t="shared" si="1"/>
        <v>5</v>
      </c>
      <c r="F16" s="25">
        <f t="shared" si="2"/>
        <v>2650.5</v>
      </c>
      <c r="G16" s="25">
        <f t="shared" si="3"/>
        <v>2695.25</v>
      </c>
      <c r="J16" s="35"/>
    </row>
    <row r="17" spans="1:10" ht="15" customHeight="1" x14ac:dyDescent="0.3">
      <c r="A17" s="29" t="s">
        <v>167</v>
      </c>
      <c r="B17" s="20">
        <v>638.15</v>
      </c>
      <c r="C17" s="20">
        <v>638.9</v>
      </c>
      <c r="D17" s="21">
        <f t="shared" si="0"/>
        <v>1.1752722714095433E-3</v>
      </c>
      <c r="E17" s="39">
        <f t="shared" si="1"/>
        <v>4</v>
      </c>
      <c r="F17" s="20">
        <f t="shared" si="2"/>
        <v>2552.6</v>
      </c>
      <c r="G17" s="20">
        <f t="shared" si="3"/>
        <v>2555.6</v>
      </c>
      <c r="J17" s="35"/>
    </row>
    <row r="18" spans="1:10" ht="15" customHeight="1" x14ac:dyDescent="0.3">
      <c r="A18" s="31" t="s">
        <v>168</v>
      </c>
      <c r="B18" s="25">
        <v>689.3</v>
      </c>
      <c r="C18" s="25">
        <v>707.45</v>
      </c>
      <c r="D18" s="26">
        <f t="shared" si="0"/>
        <v>2.6331060496155655E-2</v>
      </c>
      <c r="E18" s="40">
        <f t="shared" si="1"/>
        <v>4</v>
      </c>
      <c r="F18" s="25">
        <f t="shared" si="2"/>
        <v>2757.2</v>
      </c>
      <c r="G18" s="25">
        <f t="shared" si="3"/>
        <v>2829.8</v>
      </c>
    </row>
    <row r="19" spans="1:10" ht="15" customHeight="1" x14ac:dyDescent="0.3">
      <c r="A19" s="29" t="s">
        <v>169</v>
      </c>
      <c r="B19" s="20">
        <v>879.45</v>
      </c>
      <c r="C19" s="20">
        <v>910.65</v>
      </c>
      <c r="D19" s="21">
        <f t="shared" si="0"/>
        <v>3.5476718403547595E-2</v>
      </c>
      <c r="E19" s="39">
        <f t="shared" si="1"/>
        <v>3</v>
      </c>
      <c r="F19" s="20">
        <f t="shared" si="2"/>
        <v>2638.3500000000004</v>
      </c>
      <c r="G19" s="20">
        <f t="shared" si="3"/>
        <v>2731.95</v>
      </c>
    </row>
    <row r="20" spans="1:10" ht="15" customHeight="1" x14ac:dyDescent="0.3">
      <c r="A20" s="31" t="s">
        <v>170</v>
      </c>
      <c r="B20" s="25">
        <v>1156.3</v>
      </c>
      <c r="C20" s="25">
        <v>1125.8</v>
      </c>
      <c r="D20" s="26">
        <f t="shared" si="0"/>
        <v>-2.6377237741070658E-2</v>
      </c>
      <c r="E20" s="40">
        <f t="shared" si="1"/>
        <v>2</v>
      </c>
      <c r="F20" s="25">
        <f t="shared" si="2"/>
        <v>2312.6</v>
      </c>
      <c r="G20" s="25">
        <f t="shared" si="3"/>
        <v>2251.6</v>
      </c>
    </row>
    <row r="21" spans="1:10" ht="15" customHeight="1" x14ac:dyDescent="0.3">
      <c r="A21" s="29" t="s">
        <v>171</v>
      </c>
      <c r="B21" s="20">
        <v>1420.4</v>
      </c>
      <c r="C21" s="20">
        <v>1431.7</v>
      </c>
      <c r="D21" s="21">
        <f t="shared" si="0"/>
        <v>7.9555054914108372E-3</v>
      </c>
      <c r="E21" s="39">
        <f t="shared" si="1"/>
        <v>2</v>
      </c>
      <c r="F21" s="20">
        <f t="shared" si="2"/>
        <v>2840.8</v>
      </c>
      <c r="G21" s="20">
        <f t="shared" si="3"/>
        <v>2863.4</v>
      </c>
    </row>
    <row r="22" spans="1:10" ht="15" customHeight="1" x14ac:dyDescent="0.3">
      <c r="A22" s="31" t="s">
        <v>172</v>
      </c>
      <c r="B22" s="25">
        <v>1483.1</v>
      </c>
      <c r="C22" s="25">
        <v>1440.4</v>
      </c>
      <c r="D22" s="26">
        <f t="shared" si="0"/>
        <v>-2.8791045782482518E-2</v>
      </c>
      <c r="E22" s="40">
        <f t="shared" si="1"/>
        <v>2</v>
      </c>
      <c r="F22" s="25">
        <f t="shared" si="2"/>
        <v>2966.2</v>
      </c>
      <c r="G22" s="25">
        <f t="shared" si="3"/>
        <v>2880.8</v>
      </c>
    </row>
    <row r="23" spans="1:10" ht="15" customHeight="1" x14ac:dyDescent="0.3">
      <c r="A23" s="29" t="s">
        <v>173</v>
      </c>
      <c r="B23" s="20">
        <v>1535.2</v>
      </c>
      <c r="C23" s="20">
        <v>1556.7</v>
      </c>
      <c r="D23" s="21">
        <f t="shared" si="0"/>
        <v>1.4004689942678478E-2</v>
      </c>
      <c r="E23" s="39">
        <f t="shared" si="1"/>
        <v>2</v>
      </c>
      <c r="F23" s="20">
        <f t="shared" si="2"/>
        <v>3070.4</v>
      </c>
      <c r="G23" s="20">
        <f t="shared" si="3"/>
        <v>3113.4</v>
      </c>
    </row>
    <row r="24" spans="1:10" ht="15" customHeight="1" x14ac:dyDescent="0.3">
      <c r="A24" s="31" t="s">
        <v>174</v>
      </c>
      <c r="B24" s="25">
        <v>1596.2</v>
      </c>
      <c r="C24" s="25">
        <v>1621.3</v>
      </c>
      <c r="D24" s="26">
        <f t="shared" si="0"/>
        <v>1.5724846510462291E-2</v>
      </c>
      <c r="E24" s="40">
        <f t="shared" si="1"/>
        <v>2</v>
      </c>
      <c r="F24" s="25">
        <f t="shared" si="2"/>
        <v>3192.4</v>
      </c>
      <c r="G24" s="25">
        <f t="shared" si="3"/>
        <v>3242.6</v>
      </c>
    </row>
    <row r="25" spans="1:10" ht="15" customHeight="1" x14ac:dyDescent="0.3">
      <c r="A25" s="29" t="s">
        <v>175</v>
      </c>
      <c r="B25" s="20">
        <v>2564.9</v>
      </c>
      <c r="C25" s="20">
        <v>2509.8000000000002</v>
      </c>
      <c r="D25" s="21">
        <f t="shared" si="0"/>
        <v>-2.1482318998791338E-2</v>
      </c>
      <c r="E25" s="39">
        <f t="shared" si="1"/>
        <v>1</v>
      </c>
      <c r="F25" s="20">
        <f t="shared" si="2"/>
        <v>2564.9</v>
      </c>
      <c r="G25" s="20">
        <f t="shared" si="3"/>
        <v>2509.8000000000002</v>
      </c>
    </row>
    <row r="26" spans="1:10" ht="15" customHeight="1" x14ac:dyDescent="0.3">
      <c r="A26" s="41" t="s">
        <v>75</v>
      </c>
      <c r="B26" s="42"/>
      <c r="C26" s="42"/>
      <c r="D26" s="42"/>
      <c r="E26" s="42"/>
      <c r="F26" s="43">
        <f>SUM(F11:F25)</f>
        <v>40620.120000000003</v>
      </c>
      <c r="G26" s="43">
        <f>SUM(G11:G25)</f>
        <v>41305.65</v>
      </c>
    </row>
    <row r="28" spans="1:10" ht="18" customHeight="1" x14ac:dyDescent="0.3">
      <c r="A28" s="10" t="s">
        <v>76</v>
      </c>
      <c r="B28" s="10"/>
      <c r="C28" s="10"/>
      <c r="D28" s="10"/>
      <c r="E28" s="10"/>
      <c r="F28" s="10"/>
      <c r="G28" s="10"/>
    </row>
    <row r="29" spans="1:10" ht="15" customHeight="1" x14ac:dyDescent="0.3">
      <c r="A29" s="9" t="s">
        <v>77</v>
      </c>
      <c r="B29" s="9"/>
      <c r="C29" s="9"/>
      <c r="D29" s="9"/>
      <c r="E29" s="9"/>
      <c r="F29" s="9"/>
      <c r="G29" s="9"/>
    </row>
    <row r="30" spans="1:10" ht="15.75" customHeight="1" x14ac:dyDescent="0.3">
      <c r="A30" s="36" t="s">
        <v>19</v>
      </c>
      <c r="B30" s="8" t="s">
        <v>52</v>
      </c>
      <c r="C30" s="8"/>
      <c r="D30" s="8" t="s">
        <v>53</v>
      </c>
      <c r="E30" s="8"/>
      <c r="F30" s="8" t="s">
        <v>78</v>
      </c>
      <c r="G30" s="8"/>
    </row>
    <row r="31" spans="1:10" ht="21.75" customHeight="1" x14ac:dyDescent="0.3">
      <c r="A31" s="37">
        <f>COUNT(B35:B49)</f>
        <v>15</v>
      </c>
      <c r="B31" s="7">
        <f>F50</f>
        <v>40620.120000000003</v>
      </c>
      <c r="C31" s="7"/>
      <c r="D31" s="7">
        <f>G50</f>
        <v>41279.96</v>
      </c>
      <c r="E31" s="7"/>
      <c r="F31" s="6">
        <f>(G50-F50)/F50</f>
        <v>1.6244166683899421E-2</v>
      </c>
      <c r="G31" s="6"/>
    </row>
    <row r="33" spans="1:7" ht="18" customHeight="1" x14ac:dyDescent="0.3">
      <c r="A33" s="10" t="s">
        <v>79</v>
      </c>
      <c r="B33" s="10"/>
      <c r="C33" s="10"/>
      <c r="D33" s="10"/>
      <c r="E33" s="10"/>
      <c r="F33" s="10"/>
      <c r="G33" s="10"/>
    </row>
    <row r="34" spans="1:7" ht="15" customHeight="1" x14ac:dyDescent="0.3">
      <c r="A34" s="36" t="s">
        <v>58</v>
      </c>
      <c r="B34" s="36" t="s">
        <v>59</v>
      </c>
      <c r="C34" s="36" t="s">
        <v>80</v>
      </c>
      <c r="D34" s="36" t="s">
        <v>61</v>
      </c>
      <c r="E34" s="36" t="s">
        <v>62</v>
      </c>
      <c r="F34" s="36" t="s">
        <v>63</v>
      </c>
      <c r="G34" s="36" t="s">
        <v>53</v>
      </c>
    </row>
    <row r="35" spans="1:7" ht="15" customHeight="1" x14ac:dyDescent="0.3">
      <c r="A35" s="29" t="s">
        <v>158</v>
      </c>
      <c r="B35" s="20">
        <v>27.81</v>
      </c>
      <c r="C35" s="20">
        <v>29.63</v>
      </c>
      <c r="D35" s="21">
        <f t="shared" ref="D35:D49" si="4">(C35-B35)/B35</f>
        <v>6.54440848615606E-2</v>
      </c>
      <c r="E35" s="39">
        <f t="shared" ref="E35:E49" si="5">ROUND($B$25/B35,0)</f>
        <v>92</v>
      </c>
      <c r="F35" s="20">
        <f t="shared" ref="F35:F49" si="6">B35*E35</f>
        <v>2558.52</v>
      </c>
      <c r="G35" s="20">
        <f t="shared" ref="G35:G49" si="7">C35*E35</f>
        <v>2725.96</v>
      </c>
    </row>
    <row r="36" spans="1:7" ht="15" customHeight="1" x14ac:dyDescent="0.3">
      <c r="A36" s="31" t="s">
        <v>160</v>
      </c>
      <c r="B36" s="25">
        <v>84.95</v>
      </c>
      <c r="C36" s="25">
        <v>84.03</v>
      </c>
      <c r="D36" s="26">
        <f t="shared" si="4"/>
        <v>-1.0829899941141868E-2</v>
      </c>
      <c r="E36" s="40">
        <f t="shared" si="5"/>
        <v>30</v>
      </c>
      <c r="F36" s="25">
        <f t="shared" si="6"/>
        <v>2548.5</v>
      </c>
      <c r="G36" s="25">
        <f t="shared" si="7"/>
        <v>2520.9</v>
      </c>
    </row>
    <row r="37" spans="1:7" ht="15" customHeight="1" x14ac:dyDescent="0.3">
      <c r="A37" s="29" t="s">
        <v>162</v>
      </c>
      <c r="B37" s="20">
        <v>394.05</v>
      </c>
      <c r="C37" s="20">
        <v>410.3</v>
      </c>
      <c r="D37" s="21">
        <f t="shared" si="4"/>
        <v>4.1238421520111659E-2</v>
      </c>
      <c r="E37" s="39">
        <f t="shared" si="5"/>
        <v>7</v>
      </c>
      <c r="F37" s="20">
        <f t="shared" si="6"/>
        <v>2758.35</v>
      </c>
      <c r="G37" s="20">
        <f t="shared" si="7"/>
        <v>2872.1</v>
      </c>
    </row>
    <row r="38" spans="1:7" ht="15" customHeight="1" x14ac:dyDescent="0.3">
      <c r="A38" s="31" t="s">
        <v>164</v>
      </c>
      <c r="B38" s="25">
        <v>454.55</v>
      </c>
      <c r="C38" s="25">
        <v>465.3</v>
      </c>
      <c r="D38" s="26">
        <f t="shared" si="4"/>
        <v>2.3649763502364977E-2</v>
      </c>
      <c r="E38" s="40">
        <f t="shared" si="5"/>
        <v>6</v>
      </c>
      <c r="F38" s="25">
        <f t="shared" si="6"/>
        <v>2727.3</v>
      </c>
      <c r="G38" s="25">
        <f t="shared" si="7"/>
        <v>2791.8</v>
      </c>
    </row>
    <row r="39" spans="1:7" ht="15" customHeight="1" x14ac:dyDescent="0.3">
      <c r="A39" s="29" t="s">
        <v>165</v>
      </c>
      <c r="B39" s="20">
        <v>496.3</v>
      </c>
      <c r="C39" s="20">
        <v>500.95</v>
      </c>
      <c r="D39" s="21">
        <f t="shared" si="4"/>
        <v>9.3693330646785755E-3</v>
      </c>
      <c r="E39" s="39">
        <f t="shared" si="5"/>
        <v>5</v>
      </c>
      <c r="F39" s="20">
        <f t="shared" si="6"/>
        <v>2481.5</v>
      </c>
      <c r="G39" s="20">
        <f t="shared" si="7"/>
        <v>2504.75</v>
      </c>
    </row>
    <row r="40" spans="1:7" ht="15" customHeight="1" x14ac:dyDescent="0.3">
      <c r="A40" s="31" t="s">
        <v>166</v>
      </c>
      <c r="B40" s="25">
        <v>530.1</v>
      </c>
      <c r="C40" s="25">
        <v>550.20000000000005</v>
      </c>
      <c r="D40" s="26">
        <f t="shared" si="4"/>
        <v>3.7917374080362234E-2</v>
      </c>
      <c r="E40" s="40">
        <f t="shared" si="5"/>
        <v>5</v>
      </c>
      <c r="F40" s="25">
        <f t="shared" si="6"/>
        <v>2650.5</v>
      </c>
      <c r="G40" s="25">
        <f t="shared" si="7"/>
        <v>2751</v>
      </c>
    </row>
    <row r="41" spans="1:7" ht="15" customHeight="1" x14ac:dyDescent="0.3">
      <c r="A41" s="29" t="s">
        <v>167</v>
      </c>
      <c r="B41" s="20">
        <v>638.15</v>
      </c>
      <c r="C41" s="20">
        <v>645</v>
      </c>
      <c r="D41" s="21">
        <f t="shared" si="4"/>
        <v>1.0734153412207197E-2</v>
      </c>
      <c r="E41" s="39">
        <f t="shared" si="5"/>
        <v>4</v>
      </c>
      <c r="F41" s="20">
        <f t="shared" si="6"/>
        <v>2552.6</v>
      </c>
      <c r="G41" s="20">
        <f t="shared" si="7"/>
        <v>2580</v>
      </c>
    </row>
    <row r="42" spans="1:7" ht="15" customHeight="1" x14ac:dyDescent="0.3">
      <c r="A42" s="31" t="s">
        <v>168</v>
      </c>
      <c r="B42" s="25">
        <v>689.3</v>
      </c>
      <c r="C42" s="25">
        <v>713.55</v>
      </c>
      <c r="D42" s="26">
        <f t="shared" si="4"/>
        <v>3.5180618018279416E-2</v>
      </c>
      <c r="E42" s="40">
        <f t="shared" si="5"/>
        <v>4</v>
      </c>
      <c r="F42" s="25">
        <f t="shared" si="6"/>
        <v>2757.2</v>
      </c>
      <c r="G42" s="25">
        <f t="shared" si="7"/>
        <v>2854.2</v>
      </c>
    </row>
    <row r="43" spans="1:7" ht="15" customHeight="1" x14ac:dyDescent="0.3">
      <c r="A43" s="29" t="s">
        <v>169</v>
      </c>
      <c r="B43" s="20">
        <v>879.45</v>
      </c>
      <c r="C43" s="20">
        <v>914.75</v>
      </c>
      <c r="D43" s="21">
        <f t="shared" si="4"/>
        <v>4.013872306555228E-2</v>
      </c>
      <c r="E43" s="39">
        <f t="shared" si="5"/>
        <v>3</v>
      </c>
      <c r="F43" s="20">
        <f t="shared" si="6"/>
        <v>2638.3500000000004</v>
      </c>
      <c r="G43" s="20">
        <f t="shared" si="7"/>
        <v>2744.25</v>
      </c>
    </row>
    <row r="44" spans="1:7" ht="15" customHeight="1" x14ac:dyDescent="0.3">
      <c r="A44" s="31" t="s">
        <v>170</v>
      </c>
      <c r="B44" s="25">
        <v>1156.3</v>
      </c>
      <c r="C44" s="25">
        <v>1180.7</v>
      </c>
      <c r="D44" s="26">
        <f t="shared" si="4"/>
        <v>2.1101790192856604E-2</v>
      </c>
      <c r="E44" s="40">
        <f t="shared" si="5"/>
        <v>2</v>
      </c>
      <c r="F44" s="25">
        <f t="shared" si="6"/>
        <v>2312.6</v>
      </c>
      <c r="G44" s="25">
        <f t="shared" si="7"/>
        <v>2361.4</v>
      </c>
    </row>
    <row r="45" spans="1:7" ht="15" customHeight="1" x14ac:dyDescent="0.3">
      <c r="A45" s="29" t="s">
        <v>171</v>
      </c>
      <c r="B45" s="20">
        <v>1420.4</v>
      </c>
      <c r="C45" s="20">
        <v>1424.9</v>
      </c>
      <c r="D45" s="21">
        <f t="shared" si="4"/>
        <v>3.1681216558715852E-3</v>
      </c>
      <c r="E45" s="39">
        <f t="shared" si="5"/>
        <v>2</v>
      </c>
      <c r="F45" s="20">
        <f t="shared" si="6"/>
        <v>2840.8</v>
      </c>
      <c r="G45" s="20">
        <f t="shared" si="7"/>
        <v>2849.8</v>
      </c>
    </row>
    <row r="46" spans="1:7" ht="15" customHeight="1" x14ac:dyDescent="0.3">
      <c r="A46" s="31" t="s">
        <v>172</v>
      </c>
      <c r="B46" s="25">
        <v>1483.1</v>
      </c>
      <c r="C46" s="25">
        <v>1420.9</v>
      </c>
      <c r="D46" s="26">
        <f t="shared" si="4"/>
        <v>-4.1939181444272014E-2</v>
      </c>
      <c r="E46" s="40">
        <f t="shared" si="5"/>
        <v>2</v>
      </c>
      <c r="F46" s="25">
        <f t="shared" si="6"/>
        <v>2966.2</v>
      </c>
      <c r="G46" s="25">
        <f t="shared" si="7"/>
        <v>2841.8</v>
      </c>
    </row>
    <row r="47" spans="1:7" ht="15" customHeight="1" x14ac:dyDescent="0.3">
      <c r="A47" s="29" t="s">
        <v>173</v>
      </c>
      <c r="B47" s="20">
        <v>1535.2</v>
      </c>
      <c r="C47" s="20">
        <v>1521.3</v>
      </c>
      <c r="D47" s="21">
        <f t="shared" si="4"/>
        <v>-9.054194893173587E-3</v>
      </c>
      <c r="E47" s="39">
        <f t="shared" si="5"/>
        <v>2</v>
      </c>
      <c r="F47" s="20">
        <f t="shared" si="6"/>
        <v>3070.4</v>
      </c>
      <c r="G47" s="20">
        <f t="shared" si="7"/>
        <v>3042.6</v>
      </c>
    </row>
    <row r="48" spans="1:7" ht="15" customHeight="1" x14ac:dyDescent="0.3">
      <c r="A48" s="31" t="s">
        <v>174</v>
      </c>
      <c r="B48" s="25">
        <v>1596.2</v>
      </c>
      <c r="C48" s="25">
        <v>1680.1</v>
      </c>
      <c r="D48" s="26">
        <f t="shared" si="4"/>
        <v>5.2562335546923855E-2</v>
      </c>
      <c r="E48" s="40">
        <f t="shared" si="5"/>
        <v>2</v>
      </c>
      <c r="F48" s="25">
        <f t="shared" si="6"/>
        <v>3192.4</v>
      </c>
      <c r="G48" s="25">
        <f t="shared" si="7"/>
        <v>3360.2</v>
      </c>
    </row>
    <row r="49" spans="1:7" ht="15" customHeight="1" x14ac:dyDescent="0.3">
      <c r="A49" s="29" t="s">
        <v>175</v>
      </c>
      <c r="B49" s="20">
        <v>2564.9</v>
      </c>
      <c r="C49" s="20">
        <v>2479.1999999999998</v>
      </c>
      <c r="D49" s="21">
        <f t="shared" si="4"/>
        <v>-3.3412608678701029E-2</v>
      </c>
      <c r="E49" s="39">
        <f t="shared" si="5"/>
        <v>1</v>
      </c>
      <c r="F49" s="20">
        <f t="shared" si="6"/>
        <v>2564.9</v>
      </c>
      <c r="G49" s="20">
        <f t="shared" si="7"/>
        <v>2479.1999999999998</v>
      </c>
    </row>
    <row r="50" spans="1:7" ht="15" customHeight="1" x14ac:dyDescent="0.3">
      <c r="A50" s="41" t="s">
        <v>75</v>
      </c>
      <c r="B50" s="42"/>
      <c r="C50" s="42"/>
      <c r="D50" s="42"/>
      <c r="E50" s="42"/>
      <c r="F50" s="43">
        <f>SUM(F35:F49)</f>
        <v>40620.120000000003</v>
      </c>
      <c r="G50" s="43">
        <f>SUM(G35:G49)</f>
        <v>41279.96</v>
      </c>
    </row>
    <row r="52" spans="1:7" ht="18" customHeight="1" x14ac:dyDescent="0.3">
      <c r="A52" s="10" t="s">
        <v>81</v>
      </c>
      <c r="B52" s="10"/>
      <c r="C52" s="10"/>
      <c r="D52" s="10"/>
      <c r="E52" s="10"/>
      <c r="F52" s="10"/>
      <c r="G52" s="10"/>
    </row>
    <row r="53" spans="1:7" ht="15" customHeight="1" x14ac:dyDescent="0.3">
      <c r="A53" s="9" t="s">
        <v>77</v>
      </c>
      <c r="B53" s="9"/>
      <c r="C53" s="9"/>
      <c r="D53" s="9"/>
      <c r="E53" s="9"/>
      <c r="F53" s="9"/>
      <c r="G53" s="9"/>
    </row>
    <row r="54" spans="1:7" ht="15.75" customHeight="1" x14ac:dyDescent="0.3">
      <c r="A54" s="36" t="s">
        <v>19</v>
      </c>
      <c r="B54" s="8" t="s">
        <v>52</v>
      </c>
      <c r="C54" s="8"/>
      <c r="D54" s="8" t="s">
        <v>53</v>
      </c>
      <c r="E54" s="8"/>
      <c r="F54" s="8" t="s">
        <v>82</v>
      </c>
      <c r="G54" s="8"/>
    </row>
    <row r="55" spans="1:7" ht="21.75" customHeight="1" x14ac:dyDescent="0.3">
      <c r="A55" s="37">
        <f>COUNT(B59:B73)</f>
        <v>15</v>
      </c>
      <c r="B55" s="7">
        <f>F74</f>
        <v>40620.120000000003</v>
      </c>
      <c r="C55" s="7"/>
      <c r="D55" s="7">
        <f>G74</f>
        <v>41404.329999999994</v>
      </c>
      <c r="E55" s="7"/>
      <c r="F55" s="6">
        <f>(G74-F74)/F74</f>
        <v>1.9305949859330592E-2</v>
      </c>
      <c r="G55" s="6"/>
    </row>
    <row r="57" spans="1:7" ht="18" customHeight="1" x14ac:dyDescent="0.3">
      <c r="A57" s="10" t="s">
        <v>83</v>
      </c>
      <c r="B57" s="10"/>
      <c r="C57" s="10"/>
      <c r="D57" s="10"/>
      <c r="E57" s="10"/>
      <c r="F57" s="10"/>
      <c r="G57" s="10"/>
    </row>
    <row r="58" spans="1:7" ht="15" customHeight="1" x14ac:dyDescent="0.3">
      <c r="A58" s="36" t="s">
        <v>58</v>
      </c>
      <c r="B58" s="36" t="s">
        <v>59</v>
      </c>
      <c r="C58" s="36" t="s">
        <v>84</v>
      </c>
      <c r="D58" s="36" t="s">
        <v>61</v>
      </c>
      <c r="E58" s="36" t="s">
        <v>62</v>
      </c>
      <c r="F58" s="36" t="s">
        <v>63</v>
      </c>
      <c r="G58" s="36" t="s">
        <v>53</v>
      </c>
    </row>
    <row r="59" spans="1:7" ht="15" customHeight="1" x14ac:dyDescent="0.3">
      <c r="A59" s="29" t="s">
        <v>158</v>
      </c>
      <c r="B59" s="20">
        <v>27.81</v>
      </c>
      <c r="C59" s="20">
        <v>28.99</v>
      </c>
      <c r="D59" s="21">
        <f t="shared" ref="D59:D73" si="8">(C59-B59)/B59</f>
        <v>4.2430780294857959E-2</v>
      </c>
      <c r="E59" s="39">
        <f t="shared" ref="E59:E73" si="9">ROUND($B$25/B59,0)</f>
        <v>92</v>
      </c>
      <c r="F59" s="20">
        <f t="shared" ref="F59:F73" si="10">B59*E59</f>
        <v>2558.52</v>
      </c>
      <c r="G59" s="20">
        <f t="shared" ref="G59:G73" si="11">C59*E59</f>
        <v>2667.08</v>
      </c>
    </row>
    <row r="60" spans="1:7" ht="15" customHeight="1" x14ac:dyDescent="0.3">
      <c r="A60" s="31" t="s">
        <v>160</v>
      </c>
      <c r="B60" s="25">
        <v>84.95</v>
      </c>
      <c r="C60" s="25">
        <v>90.28</v>
      </c>
      <c r="D60" s="26">
        <f t="shared" si="8"/>
        <v>6.2742789876397864E-2</v>
      </c>
      <c r="E60" s="40">
        <f t="shared" si="9"/>
        <v>30</v>
      </c>
      <c r="F60" s="25">
        <f t="shared" si="10"/>
        <v>2548.5</v>
      </c>
      <c r="G60" s="25">
        <f t="shared" si="11"/>
        <v>2708.4</v>
      </c>
    </row>
    <row r="61" spans="1:7" ht="15" customHeight="1" x14ac:dyDescent="0.3">
      <c r="A61" s="29" t="s">
        <v>162</v>
      </c>
      <c r="B61" s="20">
        <v>394.05</v>
      </c>
      <c r="C61" s="20">
        <v>403.2</v>
      </c>
      <c r="D61" s="21">
        <f t="shared" si="8"/>
        <v>2.3220403502093586E-2</v>
      </c>
      <c r="E61" s="39">
        <f t="shared" si="9"/>
        <v>7</v>
      </c>
      <c r="F61" s="20">
        <f t="shared" si="10"/>
        <v>2758.35</v>
      </c>
      <c r="G61" s="20">
        <f t="shared" si="11"/>
        <v>2822.4</v>
      </c>
    </row>
    <row r="62" spans="1:7" ht="15" customHeight="1" x14ac:dyDescent="0.3">
      <c r="A62" s="31" t="s">
        <v>164</v>
      </c>
      <c r="B62" s="25">
        <v>454.55</v>
      </c>
      <c r="C62" s="25">
        <v>476</v>
      </c>
      <c r="D62" s="26">
        <f t="shared" si="8"/>
        <v>4.7189528104718929E-2</v>
      </c>
      <c r="E62" s="40">
        <f t="shared" si="9"/>
        <v>6</v>
      </c>
      <c r="F62" s="25">
        <f t="shared" si="10"/>
        <v>2727.3</v>
      </c>
      <c r="G62" s="25">
        <f t="shared" si="11"/>
        <v>2856</v>
      </c>
    </row>
    <row r="63" spans="1:7" ht="15" customHeight="1" x14ac:dyDescent="0.3">
      <c r="A63" s="29" t="s">
        <v>165</v>
      </c>
      <c r="B63" s="20">
        <v>496.3</v>
      </c>
      <c r="C63" s="20">
        <v>499.5</v>
      </c>
      <c r="D63" s="21">
        <f t="shared" si="8"/>
        <v>6.4477130767680605E-3</v>
      </c>
      <c r="E63" s="39">
        <f t="shared" si="9"/>
        <v>5</v>
      </c>
      <c r="F63" s="20">
        <f t="shared" si="10"/>
        <v>2481.5</v>
      </c>
      <c r="G63" s="20">
        <f t="shared" si="11"/>
        <v>2497.5</v>
      </c>
    </row>
    <row r="64" spans="1:7" ht="15" customHeight="1" x14ac:dyDescent="0.3">
      <c r="A64" s="31" t="s">
        <v>166</v>
      </c>
      <c r="B64" s="25">
        <v>530.1</v>
      </c>
      <c r="C64" s="25">
        <v>584.54999999999995</v>
      </c>
      <c r="D64" s="26">
        <f t="shared" si="8"/>
        <v>0.10271646859083179</v>
      </c>
      <c r="E64" s="40">
        <f t="shared" si="9"/>
        <v>5</v>
      </c>
      <c r="F64" s="25">
        <f t="shared" si="10"/>
        <v>2650.5</v>
      </c>
      <c r="G64" s="25">
        <f t="shared" si="11"/>
        <v>2922.75</v>
      </c>
    </row>
    <row r="65" spans="1:7" ht="15" customHeight="1" x14ac:dyDescent="0.3">
      <c r="A65" s="29" t="s">
        <v>167</v>
      </c>
      <c r="B65" s="20">
        <v>638.15</v>
      </c>
      <c r="C65" s="20">
        <v>631.45000000000005</v>
      </c>
      <c r="D65" s="21">
        <f t="shared" si="8"/>
        <v>-1.0499098957925146E-2</v>
      </c>
      <c r="E65" s="39">
        <f t="shared" si="9"/>
        <v>4</v>
      </c>
      <c r="F65" s="20">
        <f t="shared" si="10"/>
        <v>2552.6</v>
      </c>
      <c r="G65" s="20">
        <f t="shared" si="11"/>
        <v>2525.8000000000002</v>
      </c>
    </row>
    <row r="66" spans="1:7" ht="15" customHeight="1" x14ac:dyDescent="0.3">
      <c r="A66" s="31" t="s">
        <v>168</v>
      </c>
      <c r="B66" s="25">
        <v>689.3</v>
      </c>
      <c r="C66" s="25">
        <v>696.2</v>
      </c>
      <c r="D66" s="26">
        <f t="shared" si="8"/>
        <v>1.0010155229943554E-2</v>
      </c>
      <c r="E66" s="40">
        <f t="shared" si="9"/>
        <v>4</v>
      </c>
      <c r="F66" s="25">
        <f t="shared" si="10"/>
        <v>2757.2</v>
      </c>
      <c r="G66" s="25">
        <f t="shared" si="11"/>
        <v>2784.8</v>
      </c>
    </row>
    <row r="67" spans="1:7" ht="15" customHeight="1" x14ac:dyDescent="0.3">
      <c r="A67" s="29" t="s">
        <v>169</v>
      </c>
      <c r="B67" s="20">
        <v>879.45</v>
      </c>
      <c r="C67" s="20">
        <v>899.1</v>
      </c>
      <c r="D67" s="21">
        <f t="shared" si="8"/>
        <v>2.234351014838817E-2</v>
      </c>
      <c r="E67" s="39">
        <f t="shared" si="9"/>
        <v>3</v>
      </c>
      <c r="F67" s="20">
        <f t="shared" si="10"/>
        <v>2638.3500000000004</v>
      </c>
      <c r="G67" s="20">
        <f t="shared" si="11"/>
        <v>2697.3</v>
      </c>
    </row>
    <row r="68" spans="1:7" ht="15" customHeight="1" x14ac:dyDescent="0.3">
      <c r="A68" s="31" t="s">
        <v>170</v>
      </c>
      <c r="B68" s="25">
        <v>1156.3</v>
      </c>
      <c r="C68" s="25">
        <v>1200</v>
      </c>
      <c r="D68" s="26">
        <f t="shared" si="8"/>
        <v>3.779296030441931E-2</v>
      </c>
      <c r="E68" s="40">
        <f t="shared" si="9"/>
        <v>2</v>
      </c>
      <c r="F68" s="25">
        <f t="shared" si="10"/>
        <v>2312.6</v>
      </c>
      <c r="G68" s="25">
        <f t="shared" si="11"/>
        <v>2400</v>
      </c>
    </row>
    <row r="69" spans="1:7" ht="15" customHeight="1" x14ac:dyDescent="0.3">
      <c r="A69" s="29" t="s">
        <v>171</v>
      </c>
      <c r="B69" s="20">
        <v>1420.4</v>
      </c>
      <c r="C69" s="20">
        <v>1380.4</v>
      </c>
      <c r="D69" s="21">
        <f t="shared" si="8"/>
        <v>-2.8161081385525203E-2</v>
      </c>
      <c r="E69" s="39">
        <f t="shared" si="9"/>
        <v>2</v>
      </c>
      <c r="F69" s="20">
        <f t="shared" si="10"/>
        <v>2840.8</v>
      </c>
      <c r="G69" s="20">
        <f t="shared" si="11"/>
        <v>2760.8</v>
      </c>
    </row>
    <row r="70" spans="1:7" ht="15" customHeight="1" x14ac:dyDescent="0.3">
      <c r="A70" s="31" t="s">
        <v>172</v>
      </c>
      <c r="B70" s="25">
        <v>1483.1</v>
      </c>
      <c r="C70" s="25">
        <v>1345.4</v>
      </c>
      <c r="D70" s="26">
        <f t="shared" si="8"/>
        <v>-9.2846065673251849E-2</v>
      </c>
      <c r="E70" s="40">
        <f t="shared" si="9"/>
        <v>2</v>
      </c>
      <c r="F70" s="25">
        <f t="shared" si="10"/>
        <v>2966.2</v>
      </c>
      <c r="G70" s="25">
        <f t="shared" si="11"/>
        <v>2690.8</v>
      </c>
    </row>
    <row r="71" spans="1:7" ht="15" customHeight="1" x14ac:dyDescent="0.3">
      <c r="A71" s="29" t="s">
        <v>173</v>
      </c>
      <c r="B71" s="20">
        <v>1535.2</v>
      </c>
      <c r="C71" s="20">
        <v>1493.6</v>
      </c>
      <c r="D71" s="21">
        <f t="shared" si="8"/>
        <v>-2.7097446586764027E-2</v>
      </c>
      <c r="E71" s="39">
        <f t="shared" si="9"/>
        <v>2</v>
      </c>
      <c r="F71" s="20">
        <f t="shared" si="10"/>
        <v>3070.4</v>
      </c>
      <c r="G71" s="20">
        <f t="shared" si="11"/>
        <v>2987.2</v>
      </c>
    </row>
    <row r="72" spans="1:7" ht="15" customHeight="1" x14ac:dyDescent="0.3">
      <c r="A72" s="31" t="s">
        <v>174</v>
      </c>
      <c r="B72" s="25">
        <v>1596.2</v>
      </c>
      <c r="C72" s="25">
        <v>1772.6</v>
      </c>
      <c r="D72" s="26">
        <f t="shared" si="8"/>
        <v>0.1105124671093847</v>
      </c>
      <c r="E72" s="40">
        <f t="shared" si="9"/>
        <v>2</v>
      </c>
      <c r="F72" s="25">
        <f t="shared" si="10"/>
        <v>3192.4</v>
      </c>
      <c r="G72" s="25">
        <f t="shared" si="11"/>
        <v>3545.2</v>
      </c>
    </row>
    <row r="73" spans="1:7" ht="15" customHeight="1" x14ac:dyDescent="0.3">
      <c r="A73" s="29" t="s">
        <v>175</v>
      </c>
      <c r="B73" s="20">
        <v>2564.9</v>
      </c>
      <c r="C73" s="20">
        <v>2538.3000000000002</v>
      </c>
      <c r="D73" s="21">
        <f t="shared" si="8"/>
        <v>-1.0370774689071664E-2</v>
      </c>
      <c r="E73" s="39">
        <f t="shared" si="9"/>
        <v>1</v>
      </c>
      <c r="F73" s="20">
        <f t="shared" si="10"/>
        <v>2564.9</v>
      </c>
      <c r="G73" s="20">
        <f t="shared" si="11"/>
        <v>2538.3000000000002</v>
      </c>
    </row>
    <row r="74" spans="1:7" ht="15" customHeight="1" x14ac:dyDescent="0.3">
      <c r="A74" s="41" t="s">
        <v>75</v>
      </c>
      <c r="B74" s="42"/>
      <c r="C74" s="42"/>
      <c r="D74" s="42"/>
      <c r="E74" s="42"/>
      <c r="F74" s="43">
        <f>SUM(F59:F73)</f>
        <v>40620.120000000003</v>
      </c>
      <c r="G74" s="43">
        <f>SUM(G59:G73)</f>
        <v>41404.329999999994</v>
      </c>
    </row>
    <row r="76" spans="1:7" ht="18" customHeight="1" x14ac:dyDescent="0.3">
      <c r="A76" s="10" t="s">
        <v>85</v>
      </c>
      <c r="B76" s="10"/>
      <c r="C76" s="10"/>
      <c r="D76" s="10"/>
      <c r="E76" s="10"/>
      <c r="F76" s="10"/>
      <c r="G76" s="10"/>
    </row>
    <row r="77" spans="1:7" ht="15" customHeight="1" x14ac:dyDescent="0.3">
      <c r="A77" s="9" t="s">
        <v>77</v>
      </c>
      <c r="B77" s="9"/>
      <c r="C77" s="9"/>
      <c r="D77" s="9"/>
      <c r="E77" s="9"/>
      <c r="F77" s="9"/>
      <c r="G77" s="9"/>
    </row>
    <row r="78" spans="1:7" ht="15.75" customHeight="1" x14ac:dyDescent="0.3">
      <c r="A78" s="36" t="s">
        <v>19</v>
      </c>
      <c r="B78" s="8" t="s">
        <v>52</v>
      </c>
      <c r="C78" s="8"/>
      <c r="D78" s="8" t="s">
        <v>53</v>
      </c>
      <c r="E78" s="8"/>
      <c r="F78" s="8" t="s">
        <v>86</v>
      </c>
      <c r="G78" s="8"/>
    </row>
    <row r="79" spans="1:7" ht="21.75" customHeight="1" x14ac:dyDescent="0.3">
      <c r="A79" s="37">
        <f>COUNT(B83:B97)</f>
        <v>15</v>
      </c>
      <c r="B79" s="7">
        <f>F98</f>
        <v>40620.120000000003</v>
      </c>
      <c r="C79" s="7"/>
      <c r="D79" s="7">
        <f>G98</f>
        <v>41146.11</v>
      </c>
      <c r="E79" s="7"/>
      <c r="F79" s="6">
        <f>(G98-F98)/F98</f>
        <v>1.2949001627764712E-2</v>
      </c>
      <c r="G79" s="6"/>
    </row>
    <row r="81" spans="1:7" ht="18" customHeight="1" x14ac:dyDescent="0.3">
      <c r="A81" s="10" t="s">
        <v>87</v>
      </c>
      <c r="B81" s="10"/>
      <c r="C81" s="10"/>
      <c r="D81" s="10"/>
      <c r="E81" s="10"/>
      <c r="F81" s="10"/>
      <c r="G81" s="10"/>
    </row>
    <row r="82" spans="1:7" ht="15" customHeight="1" x14ac:dyDescent="0.3">
      <c r="A82" s="36" t="s">
        <v>58</v>
      </c>
      <c r="B82" s="36" t="s">
        <v>59</v>
      </c>
      <c r="C82" s="36" t="s">
        <v>88</v>
      </c>
      <c r="D82" s="36" t="s">
        <v>61</v>
      </c>
      <c r="E82" s="36" t="s">
        <v>62</v>
      </c>
      <c r="F82" s="36" t="s">
        <v>63</v>
      </c>
      <c r="G82" s="36" t="s">
        <v>53</v>
      </c>
    </row>
    <row r="83" spans="1:7" ht="15" customHeight="1" x14ac:dyDescent="0.3">
      <c r="A83" s="29" t="s">
        <v>158</v>
      </c>
      <c r="B83" s="20">
        <v>27.81</v>
      </c>
      <c r="C83" s="20">
        <v>30.53</v>
      </c>
      <c r="D83" s="21">
        <f t="shared" ref="D83:D97" si="12">(C83-B83)/B83</f>
        <v>9.7806544408486254E-2</v>
      </c>
      <c r="E83" s="39">
        <f t="shared" ref="E83:E97" si="13">ROUND($B$25/B83,0)</f>
        <v>92</v>
      </c>
      <c r="F83" s="20">
        <f t="shared" ref="F83:F97" si="14">B83*E83</f>
        <v>2558.52</v>
      </c>
      <c r="G83" s="20">
        <f t="shared" ref="G83:G97" si="15">C83*E83</f>
        <v>2808.76</v>
      </c>
    </row>
    <row r="84" spans="1:7" ht="15" customHeight="1" x14ac:dyDescent="0.3">
      <c r="A84" s="31" t="s">
        <v>160</v>
      </c>
      <c r="B84" s="25">
        <v>84.95</v>
      </c>
      <c r="C84" s="25">
        <v>86.76</v>
      </c>
      <c r="D84" s="26">
        <f t="shared" si="12"/>
        <v>2.1306650971159531E-2</v>
      </c>
      <c r="E84" s="40">
        <f t="shared" si="13"/>
        <v>30</v>
      </c>
      <c r="F84" s="25">
        <f t="shared" si="14"/>
        <v>2548.5</v>
      </c>
      <c r="G84" s="25">
        <f t="shared" si="15"/>
        <v>2602.8000000000002</v>
      </c>
    </row>
    <row r="85" spans="1:7" ht="15" customHeight="1" x14ac:dyDescent="0.3">
      <c r="A85" s="29" t="s">
        <v>162</v>
      </c>
      <c r="B85" s="20">
        <v>394.05</v>
      </c>
      <c r="C85" s="20">
        <v>390.6</v>
      </c>
      <c r="D85" s="21">
        <f t="shared" si="12"/>
        <v>-8.7552341073467536E-3</v>
      </c>
      <c r="E85" s="39">
        <f t="shared" si="13"/>
        <v>7</v>
      </c>
      <c r="F85" s="20">
        <f t="shared" si="14"/>
        <v>2758.35</v>
      </c>
      <c r="G85" s="20">
        <f t="shared" si="15"/>
        <v>2734.2000000000003</v>
      </c>
    </row>
    <row r="86" spans="1:7" ht="15" customHeight="1" x14ac:dyDescent="0.3">
      <c r="A86" s="31" t="s">
        <v>164</v>
      </c>
      <c r="B86" s="25">
        <v>454.55</v>
      </c>
      <c r="C86" s="25">
        <v>479.6</v>
      </c>
      <c r="D86" s="26">
        <f t="shared" si="12"/>
        <v>5.510944890551097E-2</v>
      </c>
      <c r="E86" s="40">
        <f t="shared" si="13"/>
        <v>6</v>
      </c>
      <c r="F86" s="25">
        <f t="shared" si="14"/>
        <v>2727.3</v>
      </c>
      <c r="G86" s="25">
        <f t="shared" si="15"/>
        <v>2877.6000000000004</v>
      </c>
    </row>
    <row r="87" spans="1:7" ht="15" customHeight="1" x14ac:dyDescent="0.3">
      <c r="A87" s="29" t="s">
        <v>165</v>
      </c>
      <c r="B87" s="20">
        <v>496.3</v>
      </c>
      <c r="C87" s="20">
        <v>502.25</v>
      </c>
      <c r="D87" s="21">
        <f t="shared" si="12"/>
        <v>1.1988716502115632E-2</v>
      </c>
      <c r="E87" s="39">
        <f t="shared" si="13"/>
        <v>5</v>
      </c>
      <c r="F87" s="20">
        <f t="shared" si="14"/>
        <v>2481.5</v>
      </c>
      <c r="G87" s="20">
        <f t="shared" si="15"/>
        <v>2511.25</v>
      </c>
    </row>
    <row r="88" spans="1:7" ht="15" customHeight="1" x14ac:dyDescent="0.3">
      <c r="A88" s="31" t="s">
        <v>166</v>
      </c>
      <c r="B88" s="25">
        <v>530.1</v>
      </c>
      <c r="C88" s="25">
        <v>599.75</v>
      </c>
      <c r="D88" s="26">
        <f t="shared" si="12"/>
        <v>0.13139030371627991</v>
      </c>
      <c r="E88" s="40">
        <f t="shared" si="13"/>
        <v>5</v>
      </c>
      <c r="F88" s="25">
        <f t="shared" si="14"/>
        <v>2650.5</v>
      </c>
      <c r="G88" s="25">
        <f t="shared" si="15"/>
        <v>2998.75</v>
      </c>
    </row>
    <row r="89" spans="1:7" ht="15" customHeight="1" x14ac:dyDescent="0.3">
      <c r="A89" s="29" t="s">
        <v>167</v>
      </c>
      <c r="B89" s="20">
        <v>638.15</v>
      </c>
      <c r="C89" s="20">
        <v>609.45000000000005</v>
      </c>
      <c r="D89" s="21">
        <f t="shared" si="12"/>
        <v>-4.4973752252605081E-2</v>
      </c>
      <c r="E89" s="39">
        <f t="shared" si="13"/>
        <v>4</v>
      </c>
      <c r="F89" s="20">
        <f t="shared" si="14"/>
        <v>2552.6</v>
      </c>
      <c r="G89" s="20">
        <f t="shared" si="15"/>
        <v>2437.8000000000002</v>
      </c>
    </row>
    <row r="90" spans="1:7" ht="15" customHeight="1" x14ac:dyDescent="0.3">
      <c r="A90" s="31" t="s">
        <v>168</v>
      </c>
      <c r="B90" s="25">
        <v>689.3</v>
      </c>
      <c r="C90" s="25">
        <v>672.85</v>
      </c>
      <c r="D90" s="26">
        <f t="shared" si="12"/>
        <v>-2.3864790367038927E-2</v>
      </c>
      <c r="E90" s="40">
        <f t="shared" si="13"/>
        <v>4</v>
      </c>
      <c r="F90" s="25">
        <f t="shared" si="14"/>
        <v>2757.2</v>
      </c>
      <c r="G90" s="25">
        <f t="shared" si="15"/>
        <v>2691.4</v>
      </c>
    </row>
    <row r="91" spans="1:7" ht="15" customHeight="1" x14ac:dyDescent="0.3">
      <c r="A91" s="29" t="s">
        <v>169</v>
      </c>
      <c r="B91" s="20">
        <v>879.45</v>
      </c>
      <c r="C91" s="20">
        <v>872.95</v>
      </c>
      <c r="D91" s="21">
        <f t="shared" si="12"/>
        <v>-7.3909830007390983E-3</v>
      </c>
      <c r="E91" s="39">
        <f t="shared" si="13"/>
        <v>3</v>
      </c>
      <c r="F91" s="20">
        <f t="shared" si="14"/>
        <v>2638.3500000000004</v>
      </c>
      <c r="G91" s="20">
        <f t="shared" si="15"/>
        <v>2618.8500000000004</v>
      </c>
    </row>
    <row r="92" spans="1:7" ht="15" customHeight="1" x14ac:dyDescent="0.3">
      <c r="A92" s="31" t="s">
        <v>170</v>
      </c>
      <c r="B92" s="25">
        <v>1156.3</v>
      </c>
      <c r="C92" s="25">
        <v>1165.8</v>
      </c>
      <c r="D92" s="26">
        <f t="shared" si="12"/>
        <v>8.2158609357433198E-3</v>
      </c>
      <c r="E92" s="40">
        <f t="shared" si="13"/>
        <v>2</v>
      </c>
      <c r="F92" s="25">
        <f t="shared" si="14"/>
        <v>2312.6</v>
      </c>
      <c r="G92" s="25">
        <f t="shared" si="15"/>
        <v>2331.6</v>
      </c>
    </row>
    <row r="93" spans="1:7" ht="15" customHeight="1" x14ac:dyDescent="0.3">
      <c r="A93" s="29" t="s">
        <v>171</v>
      </c>
      <c r="B93" s="20">
        <v>1420.4</v>
      </c>
      <c r="C93" s="20">
        <v>1396.3</v>
      </c>
      <c r="D93" s="21">
        <f t="shared" si="12"/>
        <v>-1.696705153477903E-2</v>
      </c>
      <c r="E93" s="39">
        <f t="shared" si="13"/>
        <v>2</v>
      </c>
      <c r="F93" s="20">
        <f t="shared" si="14"/>
        <v>2840.8</v>
      </c>
      <c r="G93" s="20">
        <f t="shared" si="15"/>
        <v>2792.6</v>
      </c>
    </row>
    <row r="94" spans="1:7" ht="15" customHeight="1" x14ac:dyDescent="0.3">
      <c r="A94" s="31" t="s">
        <v>172</v>
      </c>
      <c r="B94" s="25">
        <v>1483.1</v>
      </c>
      <c r="C94" s="25">
        <v>1437.9</v>
      </c>
      <c r="D94" s="26">
        <f t="shared" si="12"/>
        <v>-3.0476704200660659E-2</v>
      </c>
      <c r="E94" s="40">
        <f t="shared" si="13"/>
        <v>2</v>
      </c>
      <c r="F94" s="25">
        <f t="shared" si="14"/>
        <v>2966.2</v>
      </c>
      <c r="G94" s="25">
        <f t="shared" si="15"/>
        <v>2875.8</v>
      </c>
    </row>
    <row r="95" spans="1:7" ht="15" customHeight="1" x14ac:dyDescent="0.3">
      <c r="A95" s="29" t="s">
        <v>173</v>
      </c>
      <c r="B95" s="20">
        <v>1535.2</v>
      </c>
      <c r="C95" s="20">
        <v>1458.2</v>
      </c>
      <c r="D95" s="21">
        <f t="shared" si="12"/>
        <v>-5.0156331422615948E-2</v>
      </c>
      <c r="E95" s="39">
        <f t="shared" si="13"/>
        <v>2</v>
      </c>
      <c r="F95" s="20">
        <f t="shared" si="14"/>
        <v>3070.4</v>
      </c>
      <c r="G95" s="20">
        <f t="shared" si="15"/>
        <v>2916.4</v>
      </c>
    </row>
    <row r="96" spans="1:7" ht="15" customHeight="1" x14ac:dyDescent="0.3">
      <c r="A96" s="31" t="s">
        <v>174</v>
      </c>
      <c r="B96" s="25">
        <v>1596.2</v>
      </c>
      <c r="C96" s="25">
        <v>1690.9</v>
      </c>
      <c r="D96" s="26">
        <f t="shared" si="12"/>
        <v>5.9328404961784265E-2</v>
      </c>
      <c r="E96" s="40">
        <f t="shared" si="13"/>
        <v>2</v>
      </c>
      <c r="F96" s="25">
        <f t="shared" si="14"/>
        <v>3192.4</v>
      </c>
      <c r="G96" s="25">
        <f t="shared" si="15"/>
        <v>3381.8</v>
      </c>
    </row>
    <row r="97" spans="1:7" ht="15" customHeight="1" x14ac:dyDescent="0.3">
      <c r="A97" s="29" t="s">
        <v>175</v>
      </c>
      <c r="B97" s="20">
        <v>2564.9</v>
      </c>
      <c r="C97" s="20">
        <v>2566.5</v>
      </c>
      <c r="D97" s="21">
        <f t="shared" si="12"/>
        <v>6.2380599633510433E-4</v>
      </c>
      <c r="E97" s="39">
        <f t="shared" si="13"/>
        <v>1</v>
      </c>
      <c r="F97" s="20">
        <f t="shared" si="14"/>
        <v>2564.9</v>
      </c>
      <c r="G97" s="20">
        <f t="shared" si="15"/>
        <v>2566.5</v>
      </c>
    </row>
    <row r="98" spans="1:7" ht="15" customHeight="1" x14ac:dyDescent="0.3">
      <c r="A98" s="41" t="s">
        <v>75</v>
      </c>
      <c r="B98" s="42"/>
      <c r="C98" s="42"/>
      <c r="D98" s="42"/>
      <c r="E98" s="42"/>
      <c r="F98" s="43">
        <f>SUM(F83:F97)</f>
        <v>40620.120000000003</v>
      </c>
      <c r="G98" s="43">
        <f>SUM(G83:G97)</f>
        <v>41146.11</v>
      </c>
    </row>
    <row r="100" spans="1:7" ht="18" customHeight="1" x14ac:dyDescent="0.3">
      <c r="A100" s="10" t="s">
        <v>89</v>
      </c>
      <c r="B100" s="10"/>
      <c r="C100" s="10"/>
      <c r="D100" s="10"/>
      <c r="E100" s="10"/>
      <c r="F100" s="10"/>
      <c r="G100" s="10"/>
    </row>
    <row r="101" spans="1:7" ht="15" customHeight="1" x14ac:dyDescent="0.3">
      <c r="A101" s="9" t="s">
        <v>77</v>
      </c>
      <c r="B101" s="9"/>
      <c r="C101" s="9"/>
      <c r="D101" s="9"/>
      <c r="E101" s="9"/>
      <c r="F101" s="9"/>
      <c r="G101" s="9"/>
    </row>
    <row r="102" spans="1:7" ht="15.75" customHeight="1" x14ac:dyDescent="0.3">
      <c r="A102" s="36" t="s">
        <v>19</v>
      </c>
      <c r="B102" s="8" t="s">
        <v>52</v>
      </c>
      <c r="C102" s="8"/>
      <c r="D102" s="8" t="s">
        <v>53</v>
      </c>
      <c r="E102" s="8"/>
      <c r="F102" s="8" t="s">
        <v>90</v>
      </c>
      <c r="G102" s="8"/>
    </row>
    <row r="103" spans="1:7" ht="21.75" customHeight="1" x14ac:dyDescent="0.3">
      <c r="A103" s="37">
        <f>COUNT(B107:B121)</f>
        <v>15</v>
      </c>
      <c r="B103" s="7">
        <f>F122</f>
        <v>40620.120000000003</v>
      </c>
      <c r="C103" s="7"/>
      <c r="D103" s="7">
        <f>G122</f>
        <v>42171.61</v>
      </c>
      <c r="E103" s="7"/>
      <c r="F103" s="6">
        <f>(G122-F122)/F122</f>
        <v>3.8195111191202731E-2</v>
      </c>
      <c r="G103" s="6"/>
    </row>
    <row r="105" spans="1:7" ht="18" customHeight="1" x14ac:dyDescent="0.3">
      <c r="A105" s="10" t="s">
        <v>91</v>
      </c>
      <c r="B105" s="10"/>
      <c r="C105" s="10"/>
      <c r="D105" s="10"/>
      <c r="E105" s="10"/>
      <c r="F105" s="10"/>
      <c r="G105" s="10"/>
    </row>
    <row r="106" spans="1:7" ht="15" customHeight="1" x14ac:dyDescent="0.3">
      <c r="A106" s="36" t="s">
        <v>58</v>
      </c>
      <c r="B106" s="36" t="s">
        <v>59</v>
      </c>
      <c r="C106" s="36" t="s">
        <v>92</v>
      </c>
      <c r="D106" s="36" t="s">
        <v>61</v>
      </c>
      <c r="E106" s="36" t="s">
        <v>62</v>
      </c>
      <c r="F106" s="36" t="s">
        <v>63</v>
      </c>
      <c r="G106" s="36" t="s">
        <v>53</v>
      </c>
    </row>
    <row r="107" spans="1:7" ht="15" customHeight="1" x14ac:dyDescent="0.3">
      <c r="A107" s="29" t="s">
        <v>158</v>
      </c>
      <c r="B107" s="20">
        <v>27.81</v>
      </c>
      <c r="C107" s="20">
        <v>27.38</v>
      </c>
      <c r="D107" s="21">
        <f t="shared" ref="D107:D121" si="16">(C107-B107)/B107</f>
        <v>-1.5462064005753317E-2</v>
      </c>
      <c r="E107" s="39">
        <f t="shared" ref="E107:E121" si="17">ROUND($B$25/B107,0)</f>
        <v>92</v>
      </c>
      <c r="F107" s="20">
        <f t="shared" ref="F107:F121" si="18">B107*E107</f>
        <v>2558.52</v>
      </c>
      <c r="G107" s="20">
        <f t="shared" ref="G107:G121" si="19">C107*E107</f>
        <v>2518.96</v>
      </c>
    </row>
    <row r="108" spans="1:7" ht="15" customHeight="1" x14ac:dyDescent="0.3">
      <c r="A108" s="31" t="s">
        <v>160</v>
      </c>
      <c r="B108" s="25">
        <v>84.95</v>
      </c>
      <c r="C108" s="25">
        <v>86.03</v>
      </c>
      <c r="D108" s="26">
        <f t="shared" si="16"/>
        <v>1.2713360800470844E-2</v>
      </c>
      <c r="E108" s="40">
        <f t="shared" si="17"/>
        <v>30</v>
      </c>
      <c r="F108" s="25">
        <f t="shared" si="18"/>
        <v>2548.5</v>
      </c>
      <c r="G108" s="25">
        <f t="shared" si="19"/>
        <v>2580.9</v>
      </c>
    </row>
    <row r="109" spans="1:7" ht="15" customHeight="1" x14ac:dyDescent="0.3">
      <c r="A109" s="29" t="s">
        <v>162</v>
      </c>
      <c r="B109" s="20">
        <v>394.05</v>
      </c>
      <c r="C109" s="20">
        <v>399.75</v>
      </c>
      <c r="D109" s="21">
        <f t="shared" si="16"/>
        <v>1.4465169394746831E-2</v>
      </c>
      <c r="E109" s="39">
        <f t="shared" si="17"/>
        <v>7</v>
      </c>
      <c r="F109" s="20">
        <f t="shared" si="18"/>
        <v>2758.35</v>
      </c>
      <c r="G109" s="20">
        <f t="shared" si="19"/>
        <v>2798.25</v>
      </c>
    </row>
    <row r="110" spans="1:7" ht="15" customHeight="1" x14ac:dyDescent="0.3">
      <c r="A110" s="31" t="s">
        <v>164</v>
      </c>
      <c r="B110" s="25">
        <v>454.55</v>
      </c>
      <c r="C110" s="25">
        <v>596.9</v>
      </c>
      <c r="D110" s="26">
        <f t="shared" si="16"/>
        <v>0.31316686833131663</v>
      </c>
      <c r="E110" s="40">
        <f t="shared" si="17"/>
        <v>6</v>
      </c>
      <c r="F110" s="25">
        <f t="shared" si="18"/>
        <v>2727.3</v>
      </c>
      <c r="G110" s="25">
        <f t="shared" si="19"/>
        <v>3581.3999999999996</v>
      </c>
    </row>
    <row r="111" spans="1:7" ht="15" customHeight="1" x14ac:dyDescent="0.3">
      <c r="A111" s="29" t="s">
        <v>165</v>
      </c>
      <c r="B111" s="20">
        <v>496.3</v>
      </c>
      <c r="C111" s="20">
        <v>516.6</v>
      </c>
      <c r="D111" s="21">
        <f t="shared" si="16"/>
        <v>4.0902679830747551E-2</v>
      </c>
      <c r="E111" s="39">
        <f t="shared" si="17"/>
        <v>5</v>
      </c>
      <c r="F111" s="20">
        <f t="shared" si="18"/>
        <v>2481.5</v>
      </c>
      <c r="G111" s="20">
        <f t="shared" si="19"/>
        <v>2583</v>
      </c>
    </row>
    <row r="112" spans="1:7" ht="15" customHeight="1" x14ac:dyDescent="0.3">
      <c r="A112" s="31" t="s">
        <v>166</v>
      </c>
      <c r="B112" s="25">
        <v>530.1</v>
      </c>
      <c r="C112" s="25">
        <v>586.54999999999995</v>
      </c>
      <c r="D112" s="26">
        <f t="shared" si="16"/>
        <v>0.10648934163365389</v>
      </c>
      <c r="E112" s="40">
        <f t="shared" si="17"/>
        <v>5</v>
      </c>
      <c r="F112" s="25">
        <f t="shared" si="18"/>
        <v>2650.5</v>
      </c>
      <c r="G112" s="25">
        <f t="shared" si="19"/>
        <v>2932.75</v>
      </c>
    </row>
    <row r="113" spans="1:7" ht="15" customHeight="1" x14ac:dyDescent="0.3">
      <c r="A113" s="29" t="s">
        <v>167</v>
      </c>
      <c r="B113" s="20">
        <v>638.15</v>
      </c>
      <c r="C113" s="20">
        <v>602.29999999999995</v>
      </c>
      <c r="D113" s="21">
        <f t="shared" si="16"/>
        <v>-5.6178014573376206E-2</v>
      </c>
      <c r="E113" s="39">
        <f t="shared" si="17"/>
        <v>4</v>
      </c>
      <c r="F113" s="20">
        <f t="shared" si="18"/>
        <v>2552.6</v>
      </c>
      <c r="G113" s="20">
        <f t="shared" si="19"/>
        <v>2409.1999999999998</v>
      </c>
    </row>
    <row r="114" spans="1:7" ht="15" customHeight="1" x14ac:dyDescent="0.3">
      <c r="A114" s="31" t="s">
        <v>168</v>
      </c>
      <c r="B114" s="25">
        <v>689.3</v>
      </c>
      <c r="C114" s="25">
        <v>709.25</v>
      </c>
      <c r="D114" s="26">
        <f t="shared" si="16"/>
        <v>2.8942405338749522E-2</v>
      </c>
      <c r="E114" s="40">
        <f t="shared" si="17"/>
        <v>4</v>
      </c>
      <c r="F114" s="25">
        <f t="shared" si="18"/>
        <v>2757.2</v>
      </c>
      <c r="G114" s="25">
        <f t="shared" si="19"/>
        <v>2837</v>
      </c>
    </row>
    <row r="115" spans="1:7" ht="15" customHeight="1" x14ac:dyDescent="0.3">
      <c r="A115" s="29" t="s">
        <v>169</v>
      </c>
      <c r="B115" s="20">
        <v>879.45</v>
      </c>
      <c r="C115" s="20">
        <v>819.75</v>
      </c>
      <c r="D115" s="21">
        <f t="shared" si="16"/>
        <v>-6.7883336176019146E-2</v>
      </c>
      <c r="E115" s="39">
        <f t="shared" si="17"/>
        <v>3</v>
      </c>
      <c r="F115" s="20">
        <f t="shared" si="18"/>
        <v>2638.3500000000004</v>
      </c>
      <c r="G115" s="20">
        <f t="shared" si="19"/>
        <v>2459.25</v>
      </c>
    </row>
    <row r="116" spans="1:7" ht="15" customHeight="1" x14ac:dyDescent="0.3">
      <c r="A116" s="31" t="s">
        <v>170</v>
      </c>
      <c r="B116" s="25">
        <v>1156.3</v>
      </c>
      <c r="C116" s="25">
        <v>1260.5999999999999</v>
      </c>
      <c r="D116" s="26">
        <f t="shared" si="16"/>
        <v>9.0201504799792401E-2</v>
      </c>
      <c r="E116" s="40">
        <f t="shared" si="17"/>
        <v>2</v>
      </c>
      <c r="F116" s="25">
        <f t="shared" si="18"/>
        <v>2312.6</v>
      </c>
      <c r="G116" s="25">
        <f t="shared" si="19"/>
        <v>2521.1999999999998</v>
      </c>
    </row>
    <row r="117" spans="1:7" ht="15" customHeight="1" x14ac:dyDescent="0.3">
      <c r="A117" s="29" t="s">
        <v>171</v>
      </c>
      <c r="B117" s="20">
        <v>1420.4</v>
      </c>
      <c r="C117" s="20">
        <v>1462.3</v>
      </c>
      <c r="D117" s="21">
        <f t="shared" si="16"/>
        <v>2.9498732751337554E-2</v>
      </c>
      <c r="E117" s="39">
        <f t="shared" si="17"/>
        <v>2</v>
      </c>
      <c r="F117" s="20">
        <f t="shared" si="18"/>
        <v>2840.8</v>
      </c>
      <c r="G117" s="20">
        <f t="shared" si="19"/>
        <v>2924.6</v>
      </c>
    </row>
    <row r="118" spans="1:7" ht="15" customHeight="1" x14ac:dyDescent="0.3">
      <c r="A118" s="31" t="s">
        <v>172</v>
      </c>
      <c r="B118" s="25">
        <v>1483.1</v>
      </c>
      <c r="C118" s="25">
        <v>1350.4</v>
      </c>
      <c r="D118" s="26">
        <f t="shared" si="16"/>
        <v>-8.9474748836895573E-2</v>
      </c>
      <c r="E118" s="40">
        <f t="shared" si="17"/>
        <v>2</v>
      </c>
      <c r="F118" s="25">
        <f t="shared" si="18"/>
        <v>2966.2</v>
      </c>
      <c r="G118" s="25">
        <f t="shared" si="19"/>
        <v>2700.8</v>
      </c>
    </row>
    <row r="119" spans="1:7" ht="15" customHeight="1" x14ac:dyDescent="0.3">
      <c r="A119" s="29" t="s">
        <v>173</v>
      </c>
      <c r="B119" s="20">
        <v>1535.2</v>
      </c>
      <c r="C119" s="20">
        <v>1497.1</v>
      </c>
      <c r="D119" s="21">
        <f t="shared" si="16"/>
        <v>-2.4817613340281486E-2</v>
      </c>
      <c r="E119" s="39">
        <f t="shared" si="17"/>
        <v>2</v>
      </c>
      <c r="F119" s="20">
        <f t="shared" si="18"/>
        <v>3070.4</v>
      </c>
      <c r="G119" s="20">
        <f t="shared" si="19"/>
        <v>2994.2</v>
      </c>
    </row>
    <row r="120" spans="1:7" ht="15" customHeight="1" x14ac:dyDescent="0.3">
      <c r="A120" s="31" t="s">
        <v>174</v>
      </c>
      <c r="B120" s="25">
        <v>1596.2</v>
      </c>
      <c r="C120" s="25">
        <v>1874.8</v>
      </c>
      <c r="D120" s="26">
        <f t="shared" si="16"/>
        <v>0.17453953138704417</v>
      </c>
      <c r="E120" s="40">
        <f t="shared" si="17"/>
        <v>2</v>
      </c>
      <c r="F120" s="25">
        <f t="shared" si="18"/>
        <v>3192.4</v>
      </c>
      <c r="G120" s="25">
        <f t="shared" si="19"/>
        <v>3749.6</v>
      </c>
    </row>
    <row r="121" spans="1:7" ht="15" customHeight="1" x14ac:dyDescent="0.3">
      <c r="A121" s="29" t="s">
        <v>175</v>
      </c>
      <c r="B121" s="20">
        <v>2564.9</v>
      </c>
      <c r="C121" s="20">
        <v>2580.5</v>
      </c>
      <c r="D121" s="21">
        <f t="shared" si="16"/>
        <v>6.0821084642675768E-3</v>
      </c>
      <c r="E121" s="39">
        <f t="shared" si="17"/>
        <v>1</v>
      </c>
      <c r="F121" s="20">
        <f t="shared" si="18"/>
        <v>2564.9</v>
      </c>
      <c r="G121" s="20">
        <f t="shared" si="19"/>
        <v>2580.5</v>
      </c>
    </row>
    <row r="122" spans="1:7" ht="15" customHeight="1" x14ac:dyDescent="0.3">
      <c r="A122" s="41" t="s">
        <v>75</v>
      </c>
      <c r="B122" s="42"/>
      <c r="C122" s="42"/>
      <c r="D122" s="42"/>
      <c r="E122" s="42"/>
      <c r="F122" s="43">
        <f>SUM(F107:F121)</f>
        <v>40620.120000000003</v>
      </c>
      <c r="G122" s="43">
        <f>SUM(G107:G121)</f>
        <v>42171.61</v>
      </c>
    </row>
    <row r="124" spans="1:7" ht="39.75" customHeight="1" x14ac:dyDescent="0.3">
      <c r="A124" s="5" t="s">
        <v>93</v>
      </c>
      <c r="B124" s="5"/>
      <c r="C124" s="5"/>
      <c r="D124" s="5"/>
      <c r="E124" s="5"/>
      <c r="F124" s="5"/>
      <c r="G124" s="5"/>
    </row>
  </sheetData>
  <mergeCells count="48">
    <mergeCell ref="B103:C103"/>
    <mergeCell ref="D103:E103"/>
    <mergeCell ref="F103:G103"/>
    <mergeCell ref="A105:G105"/>
    <mergeCell ref="A124:G124"/>
    <mergeCell ref="A81:G81"/>
    <mergeCell ref="A100:G100"/>
    <mergeCell ref="A101:G101"/>
    <mergeCell ref="B102:C102"/>
    <mergeCell ref="D102:E102"/>
    <mergeCell ref="F102:G102"/>
    <mergeCell ref="A77:G77"/>
    <mergeCell ref="B78:C78"/>
    <mergeCell ref="D78:E78"/>
    <mergeCell ref="F78:G78"/>
    <mergeCell ref="B79:C79"/>
    <mergeCell ref="D79:E79"/>
    <mergeCell ref="F79:G79"/>
    <mergeCell ref="B55:C55"/>
    <mergeCell ref="D55:E55"/>
    <mergeCell ref="F55:G55"/>
    <mergeCell ref="A57:G57"/>
    <mergeCell ref="A76:G76"/>
    <mergeCell ref="A33:G33"/>
    <mergeCell ref="A52:G52"/>
    <mergeCell ref="A53:G53"/>
    <mergeCell ref="B54:C54"/>
    <mergeCell ref="D54:E54"/>
    <mergeCell ref="F54:G54"/>
    <mergeCell ref="A29:G29"/>
    <mergeCell ref="B30:C30"/>
    <mergeCell ref="D30:E30"/>
    <mergeCell ref="F30:G30"/>
    <mergeCell ref="B31:C31"/>
    <mergeCell ref="D31:E31"/>
    <mergeCell ref="F31:G31"/>
    <mergeCell ref="B7:C7"/>
    <mergeCell ref="D7:E7"/>
    <mergeCell ref="F7:G7"/>
    <mergeCell ref="A9:G9"/>
    <mergeCell ref="A28:G28"/>
    <mergeCell ref="A1:G1"/>
    <mergeCell ref="A2:G2"/>
    <mergeCell ref="A4:G4"/>
    <mergeCell ref="A5:G5"/>
    <mergeCell ref="B6:C6"/>
    <mergeCell ref="D6:E6"/>
    <mergeCell ref="F6:G6"/>
  </mergeCells>
  <conditionalFormatting sqref="F7">
    <cfRule type="cellIs" dxfId="19" priority="2" operator="greaterThanOrEqual">
      <formula>0</formula>
    </cfRule>
    <cfRule type="cellIs" dxfId="18" priority="3" operator="lessThan">
      <formula>0</formula>
    </cfRule>
  </conditionalFormatting>
  <conditionalFormatting sqref="F31">
    <cfRule type="cellIs" dxfId="17" priority="4" operator="greaterThanOrEqual">
      <formula>0</formula>
    </cfRule>
    <cfRule type="cellIs" dxfId="16" priority="5" operator="lessThan">
      <formula>0</formula>
    </cfRule>
  </conditionalFormatting>
  <conditionalFormatting sqref="F55">
    <cfRule type="cellIs" dxfId="15" priority="6" operator="greaterThanOrEqual">
      <formula>0</formula>
    </cfRule>
    <cfRule type="cellIs" dxfId="14" priority="7" operator="lessThan">
      <formula>0</formula>
    </cfRule>
  </conditionalFormatting>
  <conditionalFormatting sqref="F79">
    <cfRule type="cellIs" dxfId="13" priority="8" operator="greaterThanOrEqual">
      <formula>0</formula>
    </cfRule>
    <cfRule type="cellIs" dxfId="12" priority="9" operator="lessThan">
      <formula>0</formula>
    </cfRule>
  </conditionalFormatting>
  <conditionalFormatting sqref="F103">
    <cfRule type="cellIs" dxfId="11" priority="10" operator="greaterThanOrEqual">
      <formula>0</formula>
    </cfRule>
    <cfRule type="cellIs" dxfId="1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4"/>
  <sheetViews>
    <sheetView showGridLines="0" zoomScaleNormal="100" workbookViewId="0">
      <pane ySplit="3" topLeftCell="A4" activePane="bottomLeft" state="frozen"/>
      <selection pane="bottomLeft" activeCell="I16" sqref="I16"/>
    </sheetView>
  </sheetViews>
  <sheetFormatPr defaultColWidth="8.6640625" defaultRowHeight="14.4" x14ac:dyDescent="0.3"/>
  <cols>
    <col min="1" max="1" width="34" customWidth="1"/>
    <col min="2" max="3" width="15" customWidth="1"/>
    <col min="4" max="4" width="11" customWidth="1"/>
    <col min="5" max="5" width="12" customWidth="1"/>
    <col min="6" max="7" width="16" customWidth="1"/>
    <col min="9" max="9" width="40" customWidth="1"/>
  </cols>
  <sheetData>
    <row r="1" spans="1:10" ht="25.5" customHeight="1" x14ac:dyDescent="0.3">
      <c r="A1" s="12" t="s">
        <v>176</v>
      </c>
      <c r="B1" s="12"/>
      <c r="C1" s="12"/>
      <c r="D1" s="12"/>
      <c r="E1" s="12"/>
      <c r="F1" s="12"/>
      <c r="G1" s="12"/>
    </row>
    <row r="2" spans="1:10" ht="15.75" customHeight="1" x14ac:dyDescent="0.3">
      <c r="A2" s="11" t="s">
        <v>188</v>
      </c>
      <c r="B2" s="11"/>
      <c r="C2" s="11"/>
      <c r="D2" s="11"/>
      <c r="E2" s="11"/>
      <c r="F2" s="11"/>
      <c r="G2" s="11"/>
    </row>
    <row r="4" spans="1:10" ht="18" customHeight="1" x14ac:dyDescent="0.3">
      <c r="A4" s="10" t="s">
        <v>48</v>
      </c>
      <c r="B4" s="10"/>
      <c r="C4" s="10"/>
      <c r="D4" s="10"/>
      <c r="E4" s="10"/>
      <c r="F4" s="10"/>
      <c r="G4" s="10"/>
      <c r="I4" s="33" t="s">
        <v>49</v>
      </c>
    </row>
    <row r="5" spans="1:10" ht="15" customHeight="1" x14ac:dyDescent="0.3">
      <c r="A5" s="9" t="s">
        <v>177</v>
      </c>
      <c r="B5" s="9"/>
      <c r="C5" s="9"/>
      <c r="D5" s="9"/>
      <c r="E5" s="9"/>
      <c r="F5" s="9"/>
      <c r="G5" s="9"/>
      <c r="I5" s="34" t="s">
        <v>178</v>
      </c>
    </row>
    <row r="6" spans="1:10" ht="15.75" customHeight="1" x14ac:dyDescent="0.3">
      <c r="A6" s="36" t="s">
        <v>19</v>
      </c>
      <c r="B6" s="8" t="s">
        <v>52</v>
      </c>
      <c r="C6" s="8"/>
      <c r="D6" s="8" t="s">
        <v>53</v>
      </c>
      <c r="E6" s="8"/>
      <c r="F6" s="8" t="s">
        <v>54</v>
      </c>
      <c r="G6" s="8"/>
      <c r="I6" s="34" t="s">
        <v>179</v>
      </c>
    </row>
    <row r="7" spans="1:10" ht="21.75" customHeight="1" x14ac:dyDescent="0.3">
      <c r="A7" s="37">
        <f>COUNT(B11:B29)</f>
        <v>19</v>
      </c>
      <c r="B7" s="7">
        <f>F30</f>
        <v>203585.65</v>
      </c>
      <c r="C7" s="7"/>
      <c r="D7" s="7">
        <f>G30</f>
        <v>206647.86000000002</v>
      </c>
      <c r="E7" s="7"/>
      <c r="F7" s="6">
        <f>(G30-F30)/F30</f>
        <v>1.5041384301889751E-2</v>
      </c>
      <c r="G7" s="6"/>
      <c r="I7" s="34" t="s">
        <v>180</v>
      </c>
    </row>
    <row r="8" spans="1:10" x14ac:dyDescent="0.3">
      <c r="I8" s="34" t="s">
        <v>181</v>
      </c>
    </row>
    <row r="9" spans="1:10" ht="18" customHeight="1" x14ac:dyDescent="0.3">
      <c r="A9" s="10" t="s">
        <v>57</v>
      </c>
      <c r="B9" s="10"/>
      <c r="C9" s="10"/>
      <c r="D9" s="10"/>
      <c r="E9" s="10"/>
      <c r="F9" s="10"/>
      <c r="G9" s="10"/>
      <c r="I9" s="38" t="s">
        <v>143</v>
      </c>
      <c r="J9" s="35"/>
    </row>
    <row r="10" spans="1:10" ht="15" customHeight="1" x14ac:dyDescent="0.3">
      <c r="A10" s="36" t="s">
        <v>58</v>
      </c>
      <c r="B10" s="36" t="s">
        <v>59</v>
      </c>
      <c r="C10" s="36" t="s">
        <v>60</v>
      </c>
      <c r="D10" s="36" t="s">
        <v>61</v>
      </c>
      <c r="E10" s="36" t="s">
        <v>62</v>
      </c>
      <c r="F10" s="36" t="s">
        <v>63</v>
      </c>
      <c r="G10" s="36" t="s">
        <v>53</v>
      </c>
    </row>
    <row r="11" spans="1:10" ht="15" customHeight="1" x14ac:dyDescent="0.3">
      <c r="A11" s="29" t="s">
        <v>100</v>
      </c>
      <c r="B11" s="20">
        <v>85.16</v>
      </c>
      <c r="C11" s="20">
        <v>85.4</v>
      </c>
      <c r="D11" s="21">
        <f t="shared" ref="D11:D29" si="0">(C11-B11)/B11</f>
        <v>2.8182245185534183E-3</v>
      </c>
      <c r="E11" s="39">
        <f t="shared" ref="E11:E29" si="1">ROUND($B$29/B11,0)</f>
        <v>127</v>
      </c>
      <c r="F11" s="20">
        <f t="shared" ref="F11:F29" si="2">B11*E11</f>
        <v>10815.32</v>
      </c>
      <c r="G11" s="20">
        <f t="shared" ref="G11:G29" si="3">C11*E11</f>
        <v>10845.800000000001</v>
      </c>
    </row>
    <row r="12" spans="1:10" ht="15" customHeight="1" x14ac:dyDescent="0.3">
      <c r="A12" s="31" t="s">
        <v>182</v>
      </c>
      <c r="B12" s="25">
        <v>125.52</v>
      </c>
      <c r="C12" s="25">
        <v>127.19</v>
      </c>
      <c r="D12" s="26">
        <f t="shared" si="0"/>
        <v>1.3304652644996827E-2</v>
      </c>
      <c r="E12" s="40">
        <f t="shared" si="1"/>
        <v>86</v>
      </c>
      <c r="F12" s="25">
        <f t="shared" si="2"/>
        <v>10794.72</v>
      </c>
      <c r="G12" s="25">
        <f t="shared" si="3"/>
        <v>10938.34</v>
      </c>
      <c r="J12" s="35"/>
    </row>
    <row r="13" spans="1:10" ht="15" customHeight="1" x14ac:dyDescent="0.3">
      <c r="A13" s="29" t="s">
        <v>119</v>
      </c>
      <c r="B13" s="20">
        <v>139.38</v>
      </c>
      <c r="C13" s="20">
        <v>141.56</v>
      </c>
      <c r="D13" s="21">
        <f t="shared" si="0"/>
        <v>1.5640694504233082E-2</v>
      </c>
      <c r="E13" s="39">
        <f t="shared" si="1"/>
        <v>77</v>
      </c>
      <c r="F13" s="20">
        <f t="shared" si="2"/>
        <v>10732.26</v>
      </c>
      <c r="G13" s="20">
        <f t="shared" si="3"/>
        <v>10900.12</v>
      </c>
      <c r="J13" s="35"/>
    </row>
    <row r="14" spans="1:10" ht="15" customHeight="1" x14ac:dyDescent="0.3">
      <c r="A14" s="31" t="s">
        <v>64</v>
      </c>
      <c r="B14" s="25">
        <v>280.75</v>
      </c>
      <c r="C14" s="25">
        <v>280.39999999999998</v>
      </c>
      <c r="D14" s="26">
        <f t="shared" si="0"/>
        <v>-1.2466607301870802E-3</v>
      </c>
      <c r="E14" s="40">
        <f t="shared" si="1"/>
        <v>38</v>
      </c>
      <c r="F14" s="25">
        <f t="shared" si="2"/>
        <v>10668.5</v>
      </c>
      <c r="G14" s="25">
        <f t="shared" si="3"/>
        <v>10655.199999999999</v>
      </c>
      <c r="J14" s="35"/>
    </row>
    <row r="15" spans="1:10" ht="15" customHeight="1" x14ac:dyDescent="0.3">
      <c r="A15" s="29" t="s">
        <v>103</v>
      </c>
      <c r="B15" s="20">
        <v>280.8</v>
      </c>
      <c r="C15" s="20">
        <v>275.95</v>
      </c>
      <c r="D15" s="21">
        <f t="shared" si="0"/>
        <v>-1.7272079772079851E-2</v>
      </c>
      <c r="E15" s="39">
        <f t="shared" si="1"/>
        <v>38</v>
      </c>
      <c r="F15" s="20">
        <f t="shared" si="2"/>
        <v>10670.4</v>
      </c>
      <c r="G15" s="20">
        <f t="shared" si="3"/>
        <v>10486.1</v>
      </c>
      <c r="J15" s="35"/>
    </row>
    <row r="16" spans="1:10" ht="15" customHeight="1" x14ac:dyDescent="0.3">
      <c r="A16" s="31" t="s">
        <v>183</v>
      </c>
      <c r="B16" s="25">
        <v>286.3</v>
      </c>
      <c r="C16" s="25">
        <v>287.85000000000002</v>
      </c>
      <c r="D16" s="26">
        <f t="shared" si="0"/>
        <v>5.4139015019211015E-3</v>
      </c>
      <c r="E16" s="40">
        <f t="shared" si="1"/>
        <v>38</v>
      </c>
      <c r="F16" s="25">
        <f t="shared" si="2"/>
        <v>10879.4</v>
      </c>
      <c r="G16" s="25">
        <f t="shared" si="3"/>
        <v>10938.300000000001</v>
      </c>
      <c r="J16" s="35"/>
    </row>
    <row r="17" spans="1:7" ht="15" customHeight="1" x14ac:dyDescent="0.3">
      <c r="A17" s="29" t="s">
        <v>104</v>
      </c>
      <c r="B17" s="20">
        <v>286.95</v>
      </c>
      <c r="C17" s="20">
        <v>289.95</v>
      </c>
      <c r="D17" s="21">
        <f t="shared" si="0"/>
        <v>1.0454783063251438E-2</v>
      </c>
      <c r="E17" s="39">
        <f t="shared" si="1"/>
        <v>38</v>
      </c>
      <c r="F17" s="20">
        <f t="shared" si="2"/>
        <v>10904.1</v>
      </c>
      <c r="G17" s="20">
        <f t="shared" si="3"/>
        <v>11018.1</v>
      </c>
    </row>
    <row r="18" spans="1:7" ht="15" customHeight="1" x14ac:dyDescent="0.3">
      <c r="A18" s="31" t="s">
        <v>120</v>
      </c>
      <c r="B18" s="25">
        <v>303.55</v>
      </c>
      <c r="C18" s="25">
        <v>308.14999999999998</v>
      </c>
      <c r="D18" s="26">
        <f t="shared" si="0"/>
        <v>1.5154010871355513E-2</v>
      </c>
      <c r="E18" s="40">
        <f t="shared" si="1"/>
        <v>35</v>
      </c>
      <c r="F18" s="25">
        <f t="shared" si="2"/>
        <v>10624.25</v>
      </c>
      <c r="G18" s="25">
        <f t="shared" si="3"/>
        <v>10785.25</v>
      </c>
    </row>
    <row r="19" spans="1:7" ht="15" customHeight="1" x14ac:dyDescent="0.3">
      <c r="A19" s="29" t="s">
        <v>105</v>
      </c>
      <c r="B19" s="20">
        <v>339.6</v>
      </c>
      <c r="C19" s="20">
        <v>347.6</v>
      </c>
      <c r="D19" s="21">
        <f t="shared" si="0"/>
        <v>2.3557126030624261E-2</v>
      </c>
      <c r="E19" s="39">
        <f t="shared" si="1"/>
        <v>32</v>
      </c>
      <c r="F19" s="20">
        <f t="shared" si="2"/>
        <v>10867.2</v>
      </c>
      <c r="G19" s="20">
        <f t="shared" si="3"/>
        <v>11123.2</v>
      </c>
    </row>
    <row r="20" spans="1:7" ht="15" customHeight="1" x14ac:dyDescent="0.3">
      <c r="A20" s="31" t="s">
        <v>184</v>
      </c>
      <c r="B20" s="25">
        <v>363.8</v>
      </c>
      <c r="C20" s="25">
        <v>365.15</v>
      </c>
      <c r="D20" s="26">
        <f t="shared" si="0"/>
        <v>3.7108301264430067E-3</v>
      </c>
      <c r="E20" s="40">
        <f t="shared" si="1"/>
        <v>30</v>
      </c>
      <c r="F20" s="25">
        <f t="shared" si="2"/>
        <v>10914</v>
      </c>
      <c r="G20" s="25">
        <f t="shared" si="3"/>
        <v>10954.5</v>
      </c>
    </row>
    <row r="21" spans="1:7" ht="15" customHeight="1" x14ac:dyDescent="0.3">
      <c r="A21" s="29" t="s">
        <v>122</v>
      </c>
      <c r="B21" s="20">
        <v>394.45</v>
      </c>
      <c r="C21" s="20">
        <v>399.25</v>
      </c>
      <c r="D21" s="21">
        <f t="shared" si="0"/>
        <v>1.2168842692356475E-2</v>
      </c>
      <c r="E21" s="39">
        <f t="shared" si="1"/>
        <v>27</v>
      </c>
      <c r="F21" s="20">
        <f t="shared" si="2"/>
        <v>10650.15</v>
      </c>
      <c r="G21" s="20">
        <f t="shared" si="3"/>
        <v>10779.75</v>
      </c>
    </row>
    <row r="22" spans="1:7" ht="15" customHeight="1" x14ac:dyDescent="0.3">
      <c r="A22" s="31" t="s">
        <v>185</v>
      </c>
      <c r="B22" s="25">
        <v>424.3</v>
      </c>
      <c r="C22" s="25">
        <v>425.8</v>
      </c>
      <c r="D22" s="26">
        <f t="shared" si="0"/>
        <v>3.5352345038887579E-3</v>
      </c>
      <c r="E22" s="40">
        <f t="shared" si="1"/>
        <v>25</v>
      </c>
      <c r="F22" s="25">
        <f t="shared" si="2"/>
        <v>10607.5</v>
      </c>
      <c r="G22" s="25">
        <f t="shared" si="3"/>
        <v>10645</v>
      </c>
    </row>
    <row r="23" spans="1:7" ht="15" customHeight="1" x14ac:dyDescent="0.3">
      <c r="A23" s="29" t="s">
        <v>106</v>
      </c>
      <c r="B23" s="20">
        <v>439.05</v>
      </c>
      <c r="C23" s="20">
        <v>438.7</v>
      </c>
      <c r="D23" s="21">
        <f t="shared" si="0"/>
        <v>-7.9717572030525621E-4</v>
      </c>
      <c r="E23" s="39">
        <f t="shared" si="1"/>
        <v>25</v>
      </c>
      <c r="F23" s="20">
        <f t="shared" si="2"/>
        <v>10976.25</v>
      </c>
      <c r="G23" s="20">
        <f t="shared" si="3"/>
        <v>10967.5</v>
      </c>
    </row>
    <row r="24" spans="1:7" ht="15" customHeight="1" x14ac:dyDescent="0.3">
      <c r="A24" s="31" t="s">
        <v>107</v>
      </c>
      <c r="B24" s="25">
        <v>1000.4</v>
      </c>
      <c r="C24" s="25">
        <v>1047.2</v>
      </c>
      <c r="D24" s="26">
        <f t="shared" si="0"/>
        <v>4.6781287485006068E-2</v>
      </c>
      <c r="E24" s="40">
        <f t="shared" si="1"/>
        <v>11</v>
      </c>
      <c r="F24" s="25">
        <f t="shared" si="2"/>
        <v>11004.4</v>
      </c>
      <c r="G24" s="25">
        <f t="shared" si="3"/>
        <v>11519.2</v>
      </c>
    </row>
    <row r="25" spans="1:7" ht="15" customHeight="1" x14ac:dyDescent="0.3">
      <c r="A25" s="29" t="s">
        <v>108</v>
      </c>
      <c r="B25" s="20">
        <v>1071.8</v>
      </c>
      <c r="C25" s="20">
        <v>1139</v>
      </c>
      <c r="D25" s="21">
        <f t="shared" si="0"/>
        <v>6.2698264601604825E-2</v>
      </c>
      <c r="E25" s="39">
        <f t="shared" si="1"/>
        <v>10</v>
      </c>
      <c r="F25" s="20">
        <f t="shared" si="2"/>
        <v>10718</v>
      </c>
      <c r="G25" s="20">
        <f t="shared" si="3"/>
        <v>11390</v>
      </c>
    </row>
    <row r="26" spans="1:7" ht="15" customHeight="1" x14ac:dyDescent="0.3">
      <c r="A26" s="31" t="s">
        <v>186</v>
      </c>
      <c r="B26" s="25">
        <v>1404.7</v>
      </c>
      <c r="C26" s="25">
        <v>1410.1</v>
      </c>
      <c r="D26" s="26">
        <f t="shared" si="0"/>
        <v>3.8442372036732852E-3</v>
      </c>
      <c r="E26" s="40">
        <f t="shared" si="1"/>
        <v>8</v>
      </c>
      <c r="F26" s="25">
        <f t="shared" si="2"/>
        <v>11237.6</v>
      </c>
      <c r="G26" s="25">
        <f t="shared" si="3"/>
        <v>11280.8</v>
      </c>
    </row>
    <row r="27" spans="1:7" ht="15" customHeight="1" x14ac:dyDescent="0.3">
      <c r="A27" s="29" t="s">
        <v>109</v>
      </c>
      <c r="B27" s="20">
        <v>2031.5</v>
      </c>
      <c r="C27" s="20">
        <v>2093.5</v>
      </c>
      <c r="D27" s="21">
        <f t="shared" si="0"/>
        <v>3.0519320698990892E-2</v>
      </c>
      <c r="E27" s="39">
        <f t="shared" si="1"/>
        <v>5</v>
      </c>
      <c r="F27" s="20">
        <f t="shared" si="2"/>
        <v>10157.5</v>
      </c>
      <c r="G27" s="20">
        <f t="shared" si="3"/>
        <v>10467.5</v>
      </c>
    </row>
    <row r="28" spans="1:7" ht="15" customHeight="1" x14ac:dyDescent="0.3">
      <c r="A28" s="31" t="s">
        <v>71</v>
      </c>
      <c r="B28" s="25">
        <v>4794.3</v>
      </c>
      <c r="C28" s="25">
        <v>4852.6000000000004</v>
      </c>
      <c r="D28" s="26">
        <f t="shared" si="0"/>
        <v>1.2160273658302604E-2</v>
      </c>
      <c r="E28" s="40">
        <f t="shared" si="1"/>
        <v>2</v>
      </c>
      <c r="F28" s="25">
        <f t="shared" si="2"/>
        <v>9588.6</v>
      </c>
      <c r="G28" s="25">
        <f t="shared" si="3"/>
        <v>9705.2000000000007</v>
      </c>
    </row>
    <row r="29" spans="1:7" ht="15" customHeight="1" x14ac:dyDescent="0.3">
      <c r="A29" s="29" t="s">
        <v>187</v>
      </c>
      <c r="B29" s="20">
        <v>10775.5</v>
      </c>
      <c r="C29" s="20">
        <v>11248</v>
      </c>
      <c r="D29" s="21">
        <f t="shared" si="0"/>
        <v>4.3849473342304303E-2</v>
      </c>
      <c r="E29" s="39">
        <f t="shared" si="1"/>
        <v>1</v>
      </c>
      <c r="F29" s="20">
        <f t="shared" si="2"/>
        <v>10775.5</v>
      </c>
      <c r="G29" s="20">
        <f t="shared" si="3"/>
        <v>11248</v>
      </c>
    </row>
    <row r="30" spans="1:7" ht="15" customHeight="1" x14ac:dyDescent="0.3">
      <c r="A30" s="41" t="s">
        <v>75</v>
      </c>
      <c r="B30" s="42"/>
      <c r="C30" s="42"/>
      <c r="D30" s="42"/>
      <c r="E30" s="42"/>
      <c r="F30" s="43">
        <f>SUM(F11:F29)</f>
        <v>203585.65</v>
      </c>
      <c r="G30" s="43">
        <f>SUM(G11:G29)</f>
        <v>206647.86000000002</v>
      </c>
    </row>
    <row r="32" spans="1:7" ht="18" customHeight="1" x14ac:dyDescent="0.3">
      <c r="A32" s="10" t="s">
        <v>76</v>
      </c>
      <c r="B32" s="10"/>
      <c r="C32" s="10"/>
      <c r="D32" s="10"/>
      <c r="E32" s="10"/>
      <c r="F32" s="10"/>
      <c r="G32" s="10"/>
    </row>
    <row r="33" spans="1:7" ht="15" customHeight="1" x14ac:dyDescent="0.3">
      <c r="A33" s="9" t="s">
        <v>77</v>
      </c>
      <c r="B33" s="9"/>
      <c r="C33" s="9"/>
      <c r="D33" s="9"/>
      <c r="E33" s="9"/>
      <c r="F33" s="9"/>
      <c r="G33" s="9"/>
    </row>
    <row r="34" spans="1:7" ht="15.75" customHeight="1" x14ac:dyDescent="0.3">
      <c r="A34" s="36" t="s">
        <v>19</v>
      </c>
      <c r="B34" s="8" t="s">
        <v>52</v>
      </c>
      <c r="C34" s="8"/>
      <c r="D34" s="8" t="s">
        <v>53</v>
      </c>
      <c r="E34" s="8"/>
      <c r="F34" s="8" t="s">
        <v>78</v>
      </c>
      <c r="G34" s="8"/>
    </row>
    <row r="35" spans="1:7" ht="21.75" customHeight="1" x14ac:dyDescent="0.3">
      <c r="A35" s="37">
        <f>COUNT(B39:B57)</f>
        <v>19</v>
      </c>
      <c r="B35" s="7">
        <f>F58</f>
        <v>203585.65</v>
      </c>
      <c r="C35" s="7"/>
      <c r="D35" s="7">
        <f>G58</f>
        <v>206788.29</v>
      </c>
      <c r="E35" s="7"/>
      <c r="F35" s="6">
        <f>(G58-F58)/F58</f>
        <v>1.5731167692811424E-2</v>
      </c>
      <c r="G35" s="6"/>
    </row>
    <row r="37" spans="1:7" ht="18" customHeight="1" x14ac:dyDescent="0.3">
      <c r="A37" s="10" t="s">
        <v>79</v>
      </c>
      <c r="B37" s="10"/>
      <c r="C37" s="10"/>
      <c r="D37" s="10"/>
      <c r="E37" s="10"/>
      <c r="F37" s="10"/>
      <c r="G37" s="10"/>
    </row>
    <row r="38" spans="1:7" ht="15" customHeight="1" x14ac:dyDescent="0.3">
      <c r="A38" s="36" t="s">
        <v>58</v>
      </c>
      <c r="B38" s="36" t="s">
        <v>59</v>
      </c>
      <c r="C38" s="36" t="s">
        <v>80</v>
      </c>
      <c r="D38" s="36" t="s">
        <v>61</v>
      </c>
      <c r="E38" s="36" t="s">
        <v>62</v>
      </c>
      <c r="F38" s="36" t="s">
        <v>63</v>
      </c>
      <c r="G38" s="36" t="s">
        <v>53</v>
      </c>
    </row>
    <row r="39" spans="1:7" ht="15" customHeight="1" x14ac:dyDescent="0.3">
      <c r="A39" s="29" t="s">
        <v>100</v>
      </c>
      <c r="B39" s="20">
        <v>85.16</v>
      </c>
      <c r="C39" s="20">
        <v>84.92</v>
      </c>
      <c r="D39" s="21">
        <f t="shared" ref="D39:D57" si="4">(C39-B39)/B39</f>
        <v>-2.8182245185532514E-3</v>
      </c>
      <c r="E39" s="39">
        <f t="shared" ref="E39:E57" si="5">ROUND($B$29/B39,0)</f>
        <v>127</v>
      </c>
      <c r="F39" s="20">
        <f t="shared" ref="F39:F57" si="6">B39*E39</f>
        <v>10815.32</v>
      </c>
      <c r="G39" s="20">
        <f t="shared" ref="G39:G57" si="7">C39*E39</f>
        <v>10784.84</v>
      </c>
    </row>
    <row r="40" spans="1:7" ht="15" customHeight="1" x14ac:dyDescent="0.3">
      <c r="A40" s="31" t="s">
        <v>182</v>
      </c>
      <c r="B40" s="25">
        <v>125.52</v>
      </c>
      <c r="C40" s="25">
        <v>128.78</v>
      </c>
      <c r="D40" s="26">
        <f t="shared" si="4"/>
        <v>2.597195666029322E-2</v>
      </c>
      <c r="E40" s="40">
        <f t="shared" si="5"/>
        <v>86</v>
      </c>
      <c r="F40" s="25">
        <f t="shared" si="6"/>
        <v>10794.72</v>
      </c>
      <c r="G40" s="25">
        <f t="shared" si="7"/>
        <v>11075.08</v>
      </c>
    </row>
    <row r="41" spans="1:7" ht="15" customHeight="1" x14ac:dyDescent="0.3">
      <c r="A41" s="29" t="s">
        <v>119</v>
      </c>
      <c r="B41" s="20">
        <v>139.38</v>
      </c>
      <c r="C41" s="20">
        <v>138.96</v>
      </c>
      <c r="D41" s="21">
        <f t="shared" si="4"/>
        <v>-3.013344812742054E-3</v>
      </c>
      <c r="E41" s="39">
        <f t="shared" si="5"/>
        <v>77</v>
      </c>
      <c r="F41" s="20">
        <f t="shared" si="6"/>
        <v>10732.26</v>
      </c>
      <c r="G41" s="20">
        <f t="shared" si="7"/>
        <v>10699.92</v>
      </c>
    </row>
    <row r="42" spans="1:7" ht="15" customHeight="1" x14ac:dyDescent="0.3">
      <c r="A42" s="31" t="s">
        <v>64</v>
      </c>
      <c r="B42" s="25">
        <v>280.75</v>
      </c>
      <c r="C42" s="25">
        <v>272.55</v>
      </c>
      <c r="D42" s="26">
        <f t="shared" si="4"/>
        <v>-2.920747996438108E-2</v>
      </c>
      <c r="E42" s="40">
        <f t="shared" si="5"/>
        <v>38</v>
      </c>
      <c r="F42" s="25">
        <f t="shared" si="6"/>
        <v>10668.5</v>
      </c>
      <c r="G42" s="25">
        <f t="shared" si="7"/>
        <v>10356.9</v>
      </c>
    </row>
    <row r="43" spans="1:7" ht="15" customHeight="1" x14ac:dyDescent="0.3">
      <c r="A43" s="29" t="s">
        <v>103</v>
      </c>
      <c r="B43" s="20">
        <v>280.8</v>
      </c>
      <c r="C43" s="20">
        <v>278.95</v>
      </c>
      <c r="D43" s="21">
        <f t="shared" si="4"/>
        <v>-6.5883190883191693E-3</v>
      </c>
      <c r="E43" s="39">
        <f t="shared" si="5"/>
        <v>38</v>
      </c>
      <c r="F43" s="20">
        <f t="shared" si="6"/>
        <v>10670.4</v>
      </c>
      <c r="G43" s="20">
        <f t="shared" si="7"/>
        <v>10600.1</v>
      </c>
    </row>
    <row r="44" spans="1:7" ht="15" customHeight="1" x14ac:dyDescent="0.3">
      <c r="A44" s="31" t="s">
        <v>183</v>
      </c>
      <c r="B44" s="25">
        <v>286.3</v>
      </c>
      <c r="C44" s="25">
        <v>283.10000000000002</v>
      </c>
      <c r="D44" s="26">
        <f t="shared" si="4"/>
        <v>-1.1177086971707958E-2</v>
      </c>
      <c r="E44" s="40">
        <f t="shared" si="5"/>
        <v>38</v>
      </c>
      <c r="F44" s="25">
        <f t="shared" si="6"/>
        <v>10879.4</v>
      </c>
      <c r="G44" s="25">
        <f t="shared" si="7"/>
        <v>10757.800000000001</v>
      </c>
    </row>
    <row r="45" spans="1:7" ht="15" customHeight="1" x14ac:dyDescent="0.3">
      <c r="A45" s="29" t="s">
        <v>104</v>
      </c>
      <c r="B45" s="20">
        <v>286.95</v>
      </c>
      <c r="C45" s="20">
        <v>281.75</v>
      </c>
      <c r="D45" s="21">
        <f t="shared" si="4"/>
        <v>-1.8121623976302452E-2</v>
      </c>
      <c r="E45" s="39">
        <f t="shared" si="5"/>
        <v>38</v>
      </c>
      <c r="F45" s="20">
        <f t="shared" si="6"/>
        <v>10904.1</v>
      </c>
      <c r="G45" s="20">
        <f t="shared" si="7"/>
        <v>10706.5</v>
      </c>
    </row>
    <row r="46" spans="1:7" ht="15" customHeight="1" x14ac:dyDescent="0.3">
      <c r="A46" s="31" t="s">
        <v>120</v>
      </c>
      <c r="B46" s="25">
        <v>303.55</v>
      </c>
      <c r="C46" s="25">
        <v>309.75</v>
      </c>
      <c r="D46" s="26">
        <f t="shared" si="4"/>
        <v>2.0424971174435803E-2</v>
      </c>
      <c r="E46" s="40">
        <f t="shared" si="5"/>
        <v>35</v>
      </c>
      <c r="F46" s="25">
        <f t="shared" si="6"/>
        <v>10624.25</v>
      </c>
      <c r="G46" s="25">
        <f t="shared" si="7"/>
        <v>10841.25</v>
      </c>
    </row>
    <row r="47" spans="1:7" ht="15" customHeight="1" x14ac:dyDescent="0.3">
      <c r="A47" s="29" t="s">
        <v>105</v>
      </c>
      <c r="B47" s="20">
        <v>339.6</v>
      </c>
      <c r="C47" s="20">
        <v>354.85</v>
      </c>
      <c r="D47" s="21">
        <f t="shared" si="4"/>
        <v>4.4905771495877503E-2</v>
      </c>
      <c r="E47" s="39">
        <f t="shared" si="5"/>
        <v>32</v>
      </c>
      <c r="F47" s="20">
        <f t="shared" si="6"/>
        <v>10867.2</v>
      </c>
      <c r="G47" s="20">
        <f t="shared" si="7"/>
        <v>11355.2</v>
      </c>
    </row>
    <row r="48" spans="1:7" ht="15" customHeight="1" x14ac:dyDescent="0.3">
      <c r="A48" s="31" t="s">
        <v>184</v>
      </c>
      <c r="B48" s="25">
        <v>363.8</v>
      </c>
      <c r="C48" s="25">
        <v>351.95</v>
      </c>
      <c r="D48" s="26">
        <f t="shared" si="4"/>
        <v>-3.2572842221000611E-2</v>
      </c>
      <c r="E48" s="40">
        <f t="shared" si="5"/>
        <v>30</v>
      </c>
      <c r="F48" s="25">
        <f t="shared" si="6"/>
        <v>10914</v>
      </c>
      <c r="G48" s="25">
        <f t="shared" si="7"/>
        <v>10558.5</v>
      </c>
    </row>
    <row r="49" spans="1:7" ht="15" customHeight="1" x14ac:dyDescent="0.3">
      <c r="A49" s="29" t="s">
        <v>122</v>
      </c>
      <c r="B49" s="20">
        <v>394.45</v>
      </c>
      <c r="C49" s="20">
        <v>395.3</v>
      </c>
      <c r="D49" s="21">
        <f t="shared" si="4"/>
        <v>2.1548992267715118E-3</v>
      </c>
      <c r="E49" s="39">
        <f t="shared" si="5"/>
        <v>27</v>
      </c>
      <c r="F49" s="20">
        <f t="shared" si="6"/>
        <v>10650.15</v>
      </c>
      <c r="G49" s="20">
        <f t="shared" si="7"/>
        <v>10673.1</v>
      </c>
    </row>
    <row r="50" spans="1:7" ht="15" customHeight="1" x14ac:dyDescent="0.3">
      <c r="A50" s="31" t="s">
        <v>185</v>
      </c>
      <c r="B50" s="25">
        <v>424.3</v>
      </c>
      <c r="C50" s="25">
        <v>406.5</v>
      </c>
      <c r="D50" s="26">
        <f t="shared" si="4"/>
        <v>-4.1951449446146621E-2</v>
      </c>
      <c r="E50" s="40">
        <f t="shared" si="5"/>
        <v>25</v>
      </c>
      <c r="F50" s="25">
        <f t="shared" si="6"/>
        <v>10607.5</v>
      </c>
      <c r="G50" s="25">
        <f t="shared" si="7"/>
        <v>10162.5</v>
      </c>
    </row>
    <row r="51" spans="1:7" ht="15" customHeight="1" x14ac:dyDescent="0.3">
      <c r="A51" s="29" t="s">
        <v>106</v>
      </c>
      <c r="B51" s="20">
        <v>439.05</v>
      </c>
      <c r="C51" s="20">
        <v>429.3</v>
      </c>
      <c r="D51" s="21">
        <f t="shared" si="4"/>
        <v>-2.2207037922787838E-2</v>
      </c>
      <c r="E51" s="39">
        <f t="shared" si="5"/>
        <v>25</v>
      </c>
      <c r="F51" s="20">
        <f t="shared" si="6"/>
        <v>10976.25</v>
      </c>
      <c r="G51" s="20">
        <f t="shared" si="7"/>
        <v>10732.5</v>
      </c>
    </row>
    <row r="52" spans="1:7" ht="15" customHeight="1" x14ac:dyDescent="0.3">
      <c r="A52" s="31" t="s">
        <v>107</v>
      </c>
      <c r="B52" s="25">
        <v>1000.4</v>
      </c>
      <c r="C52" s="25">
        <v>1068</v>
      </c>
      <c r="D52" s="26">
        <f t="shared" si="4"/>
        <v>6.7572970811675348E-2</v>
      </c>
      <c r="E52" s="40">
        <f t="shared" si="5"/>
        <v>11</v>
      </c>
      <c r="F52" s="25">
        <f t="shared" si="6"/>
        <v>11004.4</v>
      </c>
      <c r="G52" s="25">
        <f t="shared" si="7"/>
        <v>11748</v>
      </c>
    </row>
    <row r="53" spans="1:7" ht="15" customHeight="1" x14ac:dyDescent="0.3">
      <c r="A53" s="29" t="s">
        <v>108</v>
      </c>
      <c r="B53" s="20">
        <v>1071.8</v>
      </c>
      <c r="C53" s="20">
        <v>1164.0999999999999</v>
      </c>
      <c r="D53" s="21">
        <f t="shared" si="4"/>
        <v>8.6116812838216053E-2</v>
      </c>
      <c r="E53" s="39">
        <f t="shared" si="5"/>
        <v>10</v>
      </c>
      <c r="F53" s="20">
        <f t="shared" si="6"/>
        <v>10718</v>
      </c>
      <c r="G53" s="20">
        <f t="shared" si="7"/>
        <v>11641</v>
      </c>
    </row>
    <row r="54" spans="1:7" ht="15" customHeight="1" x14ac:dyDescent="0.3">
      <c r="A54" s="31" t="s">
        <v>186</v>
      </c>
      <c r="B54" s="25">
        <v>1404.7</v>
      </c>
      <c r="C54" s="25">
        <v>1454.8</v>
      </c>
      <c r="D54" s="26">
        <f t="shared" si="4"/>
        <v>3.5665978500747424E-2</v>
      </c>
      <c r="E54" s="40">
        <f t="shared" si="5"/>
        <v>8</v>
      </c>
      <c r="F54" s="25">
        <f t="shared" si="6"/>
        <v>11237.6</v>
      </c>
      <c r="G54" s="25">
        <f t="shared" si="7"/>
        <v>11638.4</v>
      </c>
    </row>
    <row r="55" spans="1:7" ht="15" customHeight="1" x14ac:dyDescent="0.3">
      <c r="A55" s="29" t="s">
        <v>109</v>
      </c>
      <c r="B55" s="20">
        <v>2031.5</v>
      </c>
      <c r="C55" s="20">
        <v>2181.5</v>
      </c>
      <c r="D55" s="21">
        <f t="shared" si="4"/>
        <v>7.3837066207236027E-2</v>
      </c>
      <c r="E55" s="39">
        <f t="shared" si="5"/>
        <v>5</v>
      </c>
      <c r="F55" s="20">
        <f t="shared" si="6"/>
        <v>10157.5</v>
      </c>
      <c r="G55" s="20">
        <f t="shared" si="7"/>
        <v>10907.5</v>
      </c>
    </row>
    <row r="56" spans="1:7" ht="15" customHeight="1" x14ac:dyDescent="0.3">
      <c r="A56" s="31" t="s">
        <v>71</v>
      </c>
      <c r="B56" s="25">
        <v>4794.3</v>
      </c>
      <c r="C56" s="25">
        <v>4949.1000000000004</v>
      </c>
      <c r="D56" s="26">
        <f t="shared" si="4"/>
        <v>3.2288342406607884E-2</v>
      </c>
      <c r="E56" s="40">
        <f t="shared" si="5"/>
        <v>2</v>
      </c>
      <c r="F56" s="25">
        <f t="shared" si="6"/>
        <v>9588.6</v>
      </c>
      <c r="G56" s="25">
        <f t="shared" si="7"/>
        <v>9898.2000000000007</v>
      </c>
    </row>
    <row r="57" spans="1:7" ht="15" customHeight="1" x14ac:dyDescent="0.3">
      <c r="A57" s="29" t="s">
        <v>187</v>
      </c>
      <c r="B57" s="20">
        <v>10775.5</v>
      </c>
      <c r="C57" s="20">
        <v>11651</v>
      </c>
      <c r="D57" s="21">
        <f t="shared" si="4"/>
        <v>8.1249129970767012E-2</v>
      </c>
      <c r="E57" s="39">
        <f t="shared" si="5"/>
        <v>1</v>
      </c>
      <c r="F57" s="20">
        <f t="shared" si="6"/>
        <v>10775.5</v>
      </c>
      <c r="G57" s="20">
        <f t="shared" si="7"/>
        <v>11651</v>
      </c>
    </row>
    <row r="58" spans="1:7" ht="15" customHeight="1" x14ac:dyDescent="0.3">
      <c r="A58" s="41" t="s">
        <v>75</v>
      </c>
      <c r="B58" s="42"/>
      <c r="C58" s="42"/>
      <c r="D58" s="42"/>
      <c r="E58" s="42"/>
      <c r="F58" s="43">
        <f>SUM(F39:F57)</f>
        <v>203585.65</v>
      </c>
      <c r="G58" s="43">
        <f>SUM(G39:G57)</f>
        <v>206788.29</v>
      </c>
    </row>
    <row r="60" spans="1:7" ht="18" customHeight="1" x14ac:dyDescent="0.3">
      <c r="A60" s="10" t="s">
        <v>81</v>
      </c>
      <c r="B60" s="10"/>
      <c r="C60" s="10"/>
      <c r="D60" s="10"/>
      <c r="E60" s="10"/>
      <c r="F60" s="10"/>
      <c r="G60" s="10"/>
    </row>
    <row r="61" spans="1:7" ht="15" customHeight="1" x14ac:dyDescent="0.3">
      <c r="A61" s="9" t="s">
        <v>77</v>
      </c>
      <c r="B61" s="9"/>
      <c r="C61" s="9"/>
      <c r="D61" s="9"/>
      <c r="E61" s="9"/>
      <c r="F61" s="9"/>
      <c r="G61" s="9"/>
    </row>
    <row r="62" spans="1:7" ht="15.75" customHeight="1" x14ac:dyDescent="0.3">
      <c r="A62" s="36" t="s">
        <v>19</v>
      </c>
      <c r="B62" s="8" t="s">
        <v>52</v>
      </c>
      <c r="C62" s="8"/>
      <c r="D62" s="8" t="s">
        <v>53</v>
      </c>
      <c r="E62" s="8"/>
      <c r="F62" s="8" t="s">
        <v>82</v>
      </c>
      <c r="G62" s="8"/>
    </row>
    <row r="63" spans="1:7" ht="21.75" customHeight="1" x14ac:dyDescent="0.3">
      <c r="A63" s="37">
        <f>COUNT(B67:B85)</f>
        <v>19</v>
      </c>
      <c r="B63" s="7">
        <f>F86</f>
        <v>203585.65</v>
      </c>
      <c r="C63" s="7"/>
      <c r="D63" s="7">
        <f>G86</f>
        <v>207508.58000000002</v>
      </c>
      <c r="E63" s="7"/>
      <c r="F63" s="6">
        <f>(G86-F86)/F86</f>
        <v>1.9269187194677139E-2</v>
      </c>
      <c r="G63" s="6"/>
    </row>
    <row r="65" spans="1:7" ht="18" customHeight="1" x14ac:dyDescent="0.3">
      <c r="A65" s="10" t="s">
        <v>83</v>
      </c>
      <c r="B65" s="10"/>
      <c r="C65" s="10"/>
      <c r="D65" s="10"/>
      <c r="E65" s="10"/>
      <c r="F65" s="10"/>
      <c r="G65" s="10"/>
    </row>
    <row r="66" spans="1:7" ht="15" customHeight="1" x14ac:dyDescent="0.3">
      <c r="A66" s="36" t="s">
        <v>58</v>
      </c>
      <c r="B66" s="36" t="s">
        <v>59</v>
      </c>
      <c r="C66" s="36" t="s">
        <v>84</v>
      </c>
      <c r="D66" s="36" t="s">
        <v>61</v>
      </c>
      <c r="E66" s="36" t="s">
        <v>62</v>
      </c>
      <c r="F66" s="36" t="s">
        <v>63</v>
      </c>
      <c r="G66" s="36" t="s">
        <v>53</v>
      </c>
    </row>
    <row r="67" spans="1:7" ht="15" customHeight="1" x14ac:dyDescent="0.3">
      <c r="A67" s="29" t="s">
        <v>100</v>
      </c>
      <c r="B67" s="20">
        <v>85.16</v>
      </c>
      <c r="C67" s="20">
        <v>83.22</v>
      </c>
      <c r="D67" s="21">
        <f t="shared" ref="D67:D85" si="8">(C67-B67)/B67</f>
        <v>-2.278064819163924E-2</v>
      </c>
      <c r="E67" s="39">
        <f t="shared" ref="E67:E85" si="9">ROUND($B$29/B67,0)</f>
        <v>127</v>
      </c>
      <c r="F67" s="20">
        <f t="shared" ref="F67:F85" si="10">B67*E67</f>
        <v>10815.32</v>
      </c>
      <c r="G67" s="20">
        <f t="shared" ref="G67:G85" si="11">C67*E67</f>
        <v>10568.94</v>
      </c>
    </row>
    <row r="68" spans="1:7" ht="15" customHeight="1" x14ac:dyDescent="0.3">
      <c r="A68" s="31" t="s">
        <v>182</v>
      </c>
      <c r="B68" s="25">
        <v>125.52</v>
      </c>
      <c r="C68" s="25">
        <v>125.01</v>
      </c>
      <c r="D68" s="26">
        <f t="shared" si="8"/>
        <v>-4.0630975143402717E-3</v>
      </c>
      <c r="E68" s="40">
        <f t="shared" si="9"/>
        <v>86</v>
      </c>
      <c r="F68" s="25">
        <f t="shared" si="10"/>
        <v>10794.72</v>
      </c>
      <c r="G68" s="25">
        <f t="shared" si="11"/>
        <v>10750.86</v>
      </c>
    </row>
    <row r="69" spans="1:7" ht="15" customHeight="1" x14ac:dyDescent="0.3">
      <c r="A69" s="29" t="s">
        <v>119</v>
      </c>
      <c r="B69" s="20">
        <v>139.38</v>
      </c>
      <c r="C69" s="20">
        <v>141.69</v>
      </c>
      <c r="D69" s="21">
        <f t="shared" si="8"/>
        <v>1.6573396470081807E-2</v>
      </c>
      <c r="E69" s="39">
        <f t="shared" si="9"/>
        <v>77</v>
      </c>
      <c r="F69" s="20">
        <f t="shared" si="10"/>
        <v>10732.26</v>
      </c>
      <c r="G69" s="20">
        <f t="shared" si="11"/>
        <v>10910.13</v>
      </c>
    </row>
    <row r="70" spans="1:7" ht="15" customHeight="1" x14ac:dyDescent="0.3">
      <c r="A70" s="31" t="s">
        <v>64</v>
      </c>
      <c r="B70" s="25">
        <v>280.75</v>
      </c>
      <c r="C70" s="25">
        <v>253.05</v>
      </c>
      <c r="D70" s="26">
        <f t="shared" si="8"/>
        <v>-9.8664292074799598E-2</v>
      </c>
      <c r="E70" s="40">
        <f t="shared" si="9"/>
        <v>38</v>
      </c>
      <c r="F70" s="25">
        <f t="shared" si="10"/>
        <v>10668.5</v>
      </c>
      <c r="G70" s="25">
        <f t="shared" si="11"/>
        <v>9615.9</v>
      </c>
    </row>
    <row r="71" spans="1:7" ht="15" customHeight="1" x14ac:dyDescent="0.3">
      <c r="A71" s="29" t="s">
        <v>103</v>
      </c>
      <c r="B71" s="20">
        <v>280.8</v>
      </c>
      <c r="C71" s="20">
        <v>273.8</v>
      </c>
      <c r="D71" s="21">
        <f t="shared" si="8"/>
        <v>-2.4928774928774929E-2</v>
      </c>
      <c r="E71" s="39">
        <f t="shared" si="9"/>
        <v>38</v>
      </c>
      <c r="F71" s="20">
        <f t="shared" si="10"/>
        <v>10670.4</v>
      </c>
      <c r="G71" s="20">
        <f t="shared" si="11"/>
        <v>10404.4</v>
      </c>
    </row>
    <row r="72" spans="1:7" ht="15" customHeight="1" x14ac:dyDescent="0.3">
      <c r="A72" s="31" t="s">
        <v>183</v>
      </c>
      <c r="B72" s="25">
        <v>286.3</v>
      </c>
      <c r="C72" s="25">
        <v>283.55</v>
      </c>
      <c r="D72" s="26">
        <f t="shared" si="8"/>
        <v>-9.6053091163115605E-3</v>
      </c>
      <c r="E72" s="40">
        <f t="shared" si="9"/>
        <v>38</v>
      </c>
      <c r="F72" s="25">
        <f t="shared" si="10"/>
        <v>10879.4</v>
      </c>
      <c r="G72" s="25">
        <f t="shared" si="11"/>
        <v>10774.9</v>
      </c>
    </row>
    <row r="73" spans="1:7" ht="15" customHeight="1" x14ac:dyDescent="0.3">
      <c r="A73" s="29" t="s">
        <v>104</v>
      </c>
      <c r="B73" s="20">
        <v>286.95</v>
      </c>
      <c r="C73" s="20">
        <v>280.7</v>
      </c>
      <c r="D73" s="21">
        <f t="shared" si="8"/>
        <v>-2.1780798048440495E-2</v>
      </c>
      <c r="E73" s="39">
        <f t="shared" si="9"/>
        <v>38</v>
      </c>
      <c r="F73" s="20">
        <f t="shared" si="10"/>
        <v>10904.1</v>
      </c>
      <c r="G73" s="20">
        <f t="shared" si="11"/>
        <v>10666.6</v>
      </c>
    </row>
    <row r="74" spans="1:7" ht="15" customHeight="1" x14ac:dyDescent="0.3">
      <c r="A74" s="31" t="s">
        <v>120</v>
      </c>
      <c r="B74" s="25">
        <v>303.55</v>
      </c>
      <c r="C74" s="25">
        <v>315.55</v>
      </c>
      <c r="D74" s="26">
        <f t="shared" si="8"/>
        <v>3.9532202273101627E-2</v>
      </c>
      <c r="E74" s="40">
        <f t="shared" si="9"/>
        <v>35</v>
      </c>
      <c r="F74" s="25">
        <f t="shared" si="10"/>
        <v>10624.25</v>
      </c>
      <c r="G74" s="25">
        <f t="shared" si="11"/>
        <v>11044.25</v>
      </c>
    </row>
    <row r="75" spans="1:7" ht="15" customHeight="1" x14ac:dyDescent="0.3">
      <c r="A75" s="29" t="s">
        <v>105</v>
      </c>
      <c r="B75" s="20">
        <v>339.6</v>
      </c>
      <c r="C75" s="20">
        <v>339.9</v>
      </c>
      <c r="D75" s="21">
        <f t="shared" si="8"/>
        <v>8.8339222614827588E-4</v>
      </c>
      <c r="E75" s="39">
        <f t="shared" si="9"/>
        <v>32</v>
      </c>
      <c r="F75" s="20">
        <f t="shared" si="10"/>
        <v>10867.2</v>
      </c>
      <c r="G75" s="20">
        <f t="shared" si="11"/>
        <v>10876.8</v>
      </c>
    </row>
    <row r="76" spans="1:7" ht="15" customHeight="1" x14ac:dyDescent="0.3">
      <c r="A76" s="31" t="s">
        <v>184</v>
      </c>
      <c r="B76" s="25">
        <v>363.8</v>
      </c>
      <c r="C76" s="25">
        <v>355.1</v>
      </c>
      <c r="D76" s="26">
        <f t="shared" si="8"/>
        <v>-2.3914238592633284E-2</v>
      </c>
      <c r="E76" s="40">
        <f t="shared" si="9"/>
        <v>30</v>
      </c>
      <c r="F76" s="25">
        <f t="shared" si="10"/>
        <v>10914</v>
      </c>
      <c r="G76" s="25">
        <f t="shared" si="11"/>
        <v>10653</v>
      </c>
    </row>
    <row r="77" spans="1:7" ht="15" customHeight="1" x14ac:dyDescent="0.3">
      <c r="A77" s="29" t="s">
        <v>122</v>
      </c>
      <c r="B77" s="20">
        <v>394.45</v>
      </c>
      <c r="C77" s="20">
        <v>400.4</v>
      </c>
      <c r="D77" s="21">
        <f t="shared" si="8"/>
        <v>1.5084294587400149E-2</v>
      </c>
      <c r="E77" s="39">
        <f t="shared" si="9"/>
        <v>27</v>
      </c>
      <c r="F77" s="20">
        <f t="shared" si="10"/>
        <v>10650.15</v>
      </c>
      <c r="G77" s="20">
        <f t="shared" si="11"/>
        <v>10810.8</v>
      </c>
    </row>
    <row r="78" spans="1:7" ht="15" customHeight="1" x14ac:dyDescent="0.3">
      <c r="A78" s="31" t="s">
        <v>185</v>
      </c>
      <c r="B78" s="25">
        <v>424.3</v>
      </c>
      <c r="C78" s="25">
        <v>404.85</v>
      </c>
      <c r="D78" s="26">
        <f t="shared" si="8"/>
        <v>-4.5840207400424202E-2</v>
      </c>
      <c r="E78" s="40">
        <f t="shared" si="9"/>
        <v>25</v>
      </c>
      <c r="F78" s="25">
        <f t="shared" si="10"/>
        <v>10607.5</v>
      </c>
      <c r="G78" s="25">
        <f t="shared" si="11"/>
        <v>10121.25</v>
      </c>
    </row>
    <row r="79" spans="1:7" ht="15" customHeight="1" x14ac:dyDescent="0.3">
      <c r="A79" s="29" t="s">
        <v>106</v>
      </c>
      <c r="B79" s="20">
        <v>439.05</v>
      </c>
      <c r="C79" s="20">
        <v>427.65</v>
      </c>
      <c r="D79" s="21">
        <f t="shared" si="8"/>
        <v>-2.5965152032798165E-2</v>
      </c>
      <c r="E79" s="39">
        <f t="shared" si="9"/>
        <v>25</v>
      </c>
      <c r="F79" s="20">
        <f t="shared" si="10"/>
        <v>10976.25</v>
      </c>
      <c r="G79" s="20">
        <f t="shared" si="11"/>
        <v>10691.25</v>
      </c>
    </row>
    <row r="80" spans="1:7" ht="15" customHeight="1" x14ac:dyDescent="0.3">
      <c r="A80" s="31" t="s">
        <v>107</v>
      </c>
      <c r="B80" s="25">
        <v>1000.4</v>
      </c>
      <c r="C80" s="25">
        <v>1096.5</v>
      </c>
      <c r="D80" s="26">
        <f t="shared" si="8"/>
        <v>9.606157536985209E-2</v>
      </c>
      <c r="E80" s="40">
        <f t="shared" si="9"/>
        <v>11</v>
      </c>
      <c r="F80" s="25">
        <f t="shared" si="10"/>
        <v>11004.4</v>
      </c>
      <c r="G80" s="25">
        <f t="shared" si="11"/>
        <v>12061.5</v>
      </c>
    </row>
    <row r="81" spans="1:7" ht="15" customHeight="1" x14ac:dyDescent="0.3">
      <c r="A81" s="29" t="s">
        <v>108</v>
      </c>
      <c r="B81" s="20">
        <v>1071.8</v>
      </c>
      <c r="C81" s="20">
        <v>1203.9000000000001</v>
      </c>
      <c r="D81" s="21">
        <f t="shared" si="8"/>
        <v>0.12325060645642857</v>
      </c>
      <c r="E81" s="39">
        <f t="shared" si="9"/>
        <v>10</v>
      </c>
      <c r="F81" s="20">
        <f t="shared" si="10"/>
        <v>10718</v>
      </c>
      <c r="G81" s="20">
        <f t="shared" si="11"/>
        <v>12039</v>
      </c>
    </row>
    <row r="82" spans="1:7" ht="15" customHeight="1" x14ac:dyDescent="0.3">
      <c r="A82" s="31" t="s">
        <v>186</v>
      </c>
      <c r="B82" s="25">
        <v>1404.7</v>
      </c>
      <c r="C82" s="25">
        <v>1572.9</v>
      </c>
      <c r="D82" s="26">
        <f t="shared" si="8"/>
        <v>0.11974086993664131</v>
      </c>
      <c r="E82" s="40">
        <f t="shared" si="9"/>
        <v>8</v>
      </c>
      <c r="F82" s="25">
        <f t="shared" si="10"/>
        <v>11237.6</v>
      </c>
      <c r="G82" s="25">
        <f t="shared" si="11"/>
        <v>12583.2</v>
      </c>
    </row>
    <row r="83" spans="1:7" ht="15" customHeight="1" x14ac:dyDescent="0.3">
      <c r="A83" s="29" t="s">
        <v>109</v>
      </c>
      <c r="B83" s="20">
        <v>2031.5</v>
      </c>
      <c r="C83" s="20">
        <v>2269</v>
      </c>
      <c r="D83" s="21">
        <f t="shared" si="8"/>
        <v>0.11690868816145705</v>
      </c>
      <c r="E83" s="39">
        <f t="shared" si="9"/>
        <v>5</v>
      </c>
      <c r="F83" s="20">
        <f t="shared" si="10"/>
        <v>10157.5</v>
      </c>
      <c r="G83" s="20">
        <f t="shared" si="11"/>
        <v>11345</v>
      </c>
    </row>
    <row r="84" spans="1:7" ht="15" customHeight="1" x14ac:dyDescent="0.3">
      <c r="A84" s="31" t="s">
        <v>71</v>
      </c>
      <c r="B84" s="25">
        <v>4794.3</v>
      </c>
      <c r="C84" s="25">
        <v>4909.8999999999996</v>
      </c>
      <c r="D84" s="26">
        <f t="shared" si="8"/>
        <v>2.411196629330652E-2</v>
      </c>
      <c r="E84" s="40">
        <f t="shared" si="9"/>
        <v>2</v>
      </c>
      <c r="F84" s="25">
        <f t="shared" si="10"/>
        <v>9588.6</v>
      </c>
      <c r="G84" s="25">
        <f t="shared" si="11"/>
        <v>9819.7999999999993</v>
      </c>
    </row>
    <row r="85" spans="1:7" ht="15" customHeight="1" x14ac:dyDescent="0.3">
      <c r="A85" s="29" t="s">
        <v>187</v>
      </c>
      <c r="B85" s="20">
        <v>10775.5</v>
      </c>
      <c r="C85" s="20">
        <v>11771</v>
      </c>
      <c r="D85" s="21">
        <f t="shared" si="8"/>
        <v>9.2385504152939543E-2</v>
      </c>
      <c r="E85" s="39">
        <f t="shared" si="9"/>
        <v>1</v>
      </c>
      <c r="F85" s="20">
        <f t="shared" si="10"/>
        <v>10775.5</v>
      </c>
      <c r="G85" s="20">
        <f t="shared" si="11"/>
        <v>11771</v>
      </c>
    </row>
    <row r="86" spans="1:7" ht="15" customHeight="1" x14ac:dyDescent="0.3">
      <c r="A86" s="41" t="s">
        <v>75</v>
      </c>
      <c r="B86" s="42"/>
      <c r="C86" s="42"/>
      <c r="D86" s="42"/>
      <c r="E86" s="42"/>
      <c r="F86" s="43">
        <f>SUM(F67:F85)</f>
        <v>203585.65</v>
      </c>
      <c r="G86" s="43">
        <f>SUM(G67:G85)</f>
        <v>207508.58000000002</v>
      </c>
    </row>
    <row r="88" spans="1:7" ht="18" customHeight="1" x14ac:dyDescent="0.3">
      <c r="A88" s="10" t="s">
        <v>85</v>
      </c>
      <c r="B88" s="10"/>
      <c r="C88" s="10"/>
      <c r="D88" s="10"/>
      <c r="E88" s="10"/>
      <c r="F88" s="10"/>
      <c r="G88" s="10"/>
    </row>
    <row r="89" spans="1:7" ht="15" customHeight="1" x14ac:dyDescent="0.3">
      <c r="A89" s="9" t="s">
        <v>77</v>
      </c>
      <c r="B89" s="9"/>
      <c r="C89" s="9"/>
      <c r="D89" s="9"/>
      <c r="E89" s="9"/>
      <c r="F89" s="9"/>
      <c r="G89" s="9"/>
    </row>
    <row r="90" spans="1:7" ht="15.75" customHeight="1" x14ac:dyDescent="0.3">
      <c r="A90" s="36" t="s">
        <v>19</v>
      </c>
      <c r="B90" s="8" t="s">
        <v>52</v>
      </c>
      <c r="C90" s="8"/>
      <c r="D90" s="8" t="s">
        <v>53</v>
      </c>
      <c r="E90" s="8"/>
      <c r="F90" s="8" t="s">
        <v>86</v>
      </c>
      <c r="G90" s="8"/>
    </row>
    <row r="91" spans="1:7" ht="21.75" customHeight="1" x14ac:dyDescent="0.3">
      <c r="A91" s="37">
        <f>COUNT(B95:B113)</f>
        <v>19</v>
      </c>
      <c r="B91" s="7">
        <f>F114</f>
        <v>203585.65</v>
      </c>
      <c r="C91" s="7"/>
      <c r="D91" s="7">
        <f>G114</f>
        <v>206859.86</v>
      </c>
      <c r="E91" s="7"/>
      <c r="F91" s="6">
        <f>(G114-F114)/F114</f>
        <v>1.6082715063659898E-2</v>
      </c>
      <c r="G91" s="6"/>
    </row>
    <row r="93" spans="1:7" ht="18" customHeight="1" x14ac:dyDescent="0.3">
      <c r="A93" s="10" t="s">
        <v>87</v>
      </c>
      <c r="B93" s="10"/>
      <c r="C93" s="10"/>
      <c r="D93" s="10"/>
      <c r="E93" s="10"/>
      <c r="F93" s="10"/>
      <c r="G93" s="10"/>
    </row>
    <row r="94" spans="1:7" ht="15" customHeight="1" x14ac:dyDescent="0.3">
      <c r="A94" s="36" t="s">
        <v>58</v>
      </c>
      <c r="B94" s="36" t="s">
        <v>59</v>
      </c>
      <c r="C94" s="36" t="s">
        <v>88</v>
      </c>
      <c r="D94" s="36" t="s">
        <v>61</v>
      </c>
      <c r="E94" s="36" t="s">
        <v>62</v>
      </c>
      <c r="F94" s="36" t="s">
        <v>63</v>
      </c>
      <c r="G94" s="36" t="s">
        <v>53</v>
      </c>
    </row>
    <row r="95" spans="1:7" ht="15" customHeight="1" x14ac:dyDescent="0.3">
      <c r="A95" s="29" t="s">
        <v>100</v>
      </c>
      <c r="B95" s="20">
        <v>85.16</v>
      </c>
      <c r="C95" s="20">
        <v>83.56</v>
      </c>
      <c r="D95" s="21">
        <f t="shared" ref="D95:D113" si="12">(C95-B95)/B95</f>
        <v>-1.8788163457022011E-2</v>
      </c>
      <c r="E95" s="39">
        <f t="shared" ref="E95:E113" si="13">ROUND($B$29/B95,0)</f>
        <v>127</v>
      </c>
      <c r="F95" s="20">
        <f t="shared" ref="F95:F113" si="14">B95*E95</f>
        <v>10815.32</v>
      </c>
      <c r="G95" s="20">
        <f t="shared" ref="G95:G113" si="15">C95*E95</f>
        <v>10612.12</v>
      </c>
    </row>
    <row r="96" spans="1:7" ht="15" customHeight="1" x14ac:dyDescent="0.3">
      <c r="A96" s="31" t="s">
        <v>182</v>
      </c>
      <c r="B96" s="25">
        <v>125.52</v>
      </c>
      <c r="C96" s="25">
        <v>125.65</v>
      </c>
      <c r="D96" s="26">
        <f t="shared" si="12"/>
        <v>1.0356915232633021E-3</v>
      </c>
      <c r="E96" s="40">
        <f t="shared" si="13"/>
        <v>86</v>
      </c>
      <c r="F96" s="25">
        <f t="shared" si="14"/>
        <v>10794.72</v>
      </c>
      <c r="G96" s="25">
        <f t="shared" si="15"/>
        <v>10805.9</v>
      </c>
    </row>
    <row r="97" spans="1:7" ht="15" customHeight="1" x14ac:dyDescent="0.3">
      <c r="A97" s="29" t="s">
        <v>119</v>
      </c>
      <c r="B97" s="20">
        <v>139.38</v>
      </c>
      <c r="C97" s="20">
        <v>138.47</v>
      </c>
      <c r="D97" s="21">
        <f t="shared" si="12"/>
        <v>-6.5289137609412873E-3</v>
      </c>
      <c r="E97" s="39">
        <f t="shared" si="13"/>
        <v>77</v>
      </c>
      <c r="F97" s="20">
        <f t="shared" si="14"/>
        <v>10732.26</v>
      </c>
      <c r="G97" s="20">
        <f t="shared" si="15"/>
        <v>10662.19</v>
      </c>
    </row>
    <row r="98" spans="1:7" ht="15" customHeight="1" x14ac:dyDescent="0.3">
      <c r="A98" s="31" t="s">
        <v>64</v>
      </c>
      <c r="B98" s="25">
        <v>280.75</v>
      </c>
      <c r="C98" s="25">
        <v>264.64999999999998</v>
      </c>
      <c r="D98" s="26">
        <f t="shared" si="12"/>
        <v>-5.7346393588602038E-2</v>
      </c>
      <c r="E98" s="40">
        <f t="shared" si="13"/>
        <v>38</v>
      </c>
      <c r="F98" s="25">
        <f t="shared" si="14"/>
        <v>10668.5</v>
      </c>
      <c r="G98" s="25">
        <f t="shared" si="15"/>
        <v>10056.699999999999</v>
      </c>
    </row>
    <row r="99" spans="1:7" ht="15" customHeight="1" x14ac:dyDescent="0.3">
      <c r="A99" s="29" t="s">
        <v>103</v>
      </c>
      <c r="B99" s="20">
        <v>280.8</v>
      </c>
      <c r="C99" s="20">
        <v>274.7</v>
      </c>
      <c r="D99" s="21">
        <f t="shared" si="12"/>
        <v>-2.1723646723646805E-2</v>
      </c>
      <c r="E99" s="39">
        <f t="shared" si="13"/>
        <v>38</v>
      </c>
      <c r="F99" s="20">
        <f t="shared" si="14"/>
        <v>10670.4</v>
      </c>
      <c r="G99" s="20">
        <f t="shared" si="15"/>
        <v>10438.6</v>
      </c>
    </row>
    <row r="100" spans="1:7" ht="15" customHeight="1" x14ac:dyDescent="0.3">
      <c r="A100" s="31" t="s">
        <v>183</v>
      </c>
      <c r="B100" s="25">
        <v>286.3</v>
      </c>
      <c r="C100" s="25">
        <v>288.2</v>
      </c>
      <c r="D100" s="26">
        <f t="shared" si="12"/>
        <v>6.6363953894515446E-3</v>
      </c>
      <c r="E100" s="40">
        <f t="shared" si="13"/>
        <v>38</v>
      </c>
      <c r="F100" s="25">
        <f t="shared" si="14"/>
        <v>10879.4</v>
      </c>
      <c r="G100" s="25">
        <f t="shared" si="15"/>
        <v>10951.6</v>
      </c>
    </row>
    <row r="101" spans="1:7" ht="15" customHeight="1" x14ac:dyDescent="0.3">
      <c r="A101" s="29" t="s">
        <v>104</v>
      </c>
      <c r="B101" s="20">
        <v>286.95</v>
      </c>
      <c r="C101" s="20">
        <v>283.45</v>
      </c>
      <c r="D101" s="21">
        <f t="shared" si="12"/>
        <v>-1.2197246907126678E-2</v>
      </c>
      <c r="E101" s="39">
        <f t="shared" si="13"/>
        <v>38</v>
      </c>
      <c r="F101" s="20">
        <f t="shared" si="14"/>
        <v>10904.1</v>
      </c>
      <c r="G101" s="20">
        <f t="shared" si="15"/>
        <v>10771.1</v>
      </c>
    </row>
    <row r="102" spans="1:7" ht="15" customHeight="1" x14ac:dyDescent="0.3">
      <c r="A102" s="31" t="s">
        <v>120</v>
      </c>
      <c r="B102" s="25">
        <v>303.55</v>
      </c>
      <c r="C102" s="25">
        <v>310.14999999999998</v>
      </c>
      <c r="D102" s="26">
        <f t="shared" si="12"/>
        <v>2.1742711250205785E-2</v>
      </c>
      <c r="E102" s="40">
        <f t="shared" si="13"/>
        <v>35</v>
      </c>
      <c r="F102" s="25">
        <f t="shared" si="14"/>
        <v>10624.25</v>
      </c>
      <c r="G102" s="25">
        <f t="shared" si="15"/>
        <v>10855.25</v>
      </c>
    </row>
    <row r="103" spans="1:7" ht="15" customHeight="1" x14ac:dyDescent="0.3">
      <c r="A103" s="29" t="s">
        <v>105</v>
      </c>
      <c r="B103" s="20">
        <v>339.6</v>
      </c>
      <c r="C103" s="20">
        <v>343.9</v>
      </c>
      <c r="D103" s="21">
        <f t="shared" si="12"/>
        <v>1.2661955241460406E-2</v>
      </c>
      <c r="E103" s="39">
        <f t="shared" si="13"/>
        <v>32</v>
      </c>
      <c r="F103" s="20">
        <f t="shared" si="14"/>
        <v>10867.2</v>
      </c>
      <c r="G103" s="20">
        <f t="shared" si="15"/>
        <v>11004.8</v>
      </c>
    </row>
    <row r="104" spans="1:7" ht="15" customHeight="1" x14ac:dyDescent="0.3">
      <c r="A104" s="31" t="s">
        <v>184</v>
      </c>
      <c r="B104" s="25">
        <v>363.8</v>
      </c>
      <c r="C104" s="25">
        <v>361.6</v>
      </c>
      <c r="D104" s="26">
        <f t="shared" si="12"/>
        <v>-6.0472787245739101E-3</v>
      </c>
      <c r="E104" s="40">
        <f t="shared" si="13"/>
        <v>30</v>
      </c>
      <c r="F104" s="25">
        <f t="shared" si="14"/>
        <v>10914</v>
      </c>
      <c r="G104" s="25">
        <f t="shared" si="15"/>
        <v>10848</v>
      </c>
    </row>
    <row r="105" spans="1:7" ht="15" customHeight="1" x14ac:dyDescent="0.3">
      <c r="A105" s="29" t="s">
        <v>122</v>
      </c>
      <c r="B105" s="20">
        <v>394.45</v>
      </c>
      <c r="C105" s="20">
        <v>381.1</v>
      </c>
      <c r="D105" s="21">
        <f t="shared" si="12"/>
        <v>-3.3844593738116276E-2</v>
      </c>
      <c r="E105" s="39">
        <f t="shared" si="13"/>
        <v>27</v>
      </c>
      <c r="F105" s="20">
        <f t="shared" si="14"/>
        <v>10650.15</v>
      </c>
      <c r="G105" s="20">
        <f t="shared" si="15"/>
        <v>10289.700000000001</v>
      </c>
    </row>
    <row r="106" spans="1:7" ht="15" customHeight="1" x14ac:dyDescent="0.3">
      <c r="A106" s="31" t="s">
        <v>185</v>
      </c>
      <c r="B106" s="25">
        <v>424.3</v>
      </c>
      <c r="C106" s="25">
        <v>411.9</v>
      </c>
      <c r="D106" s="26">
        <f t="shared" si="12"/>
        <v>-2.9224605232147146E-2</v>
      </c>
      <c r="E106" s="40">
        <f t="shared" si="13"/>
        <v>25</v>
      </c>
      <c r="F106" s="25">
        <f t="shared" si="14"/>
        <v>10607.5</v>
      </c>
      <c r="G106" s="25">
        <f t="shared" si="15"/>
        <v>10297.5</v>
      </c>
    </row>
    <row r="107" spans="1:7" ht="15" customHeight="1" x14ac:dyDescent="0.3">
      <c r="A107" s="29" t="s">
        <v>106</v>
      </c>
      <c r="B107" s="20">
        <v>439.05</v>
      </c>
      <c r="C107" s="20">
        <v>427.4</v>
      </c>
      <c r="D107" s="21">
        <f t="shared" si="12"/>
        <v>-2.6534563261587596E-2</v>
      </c>
      <c r="E107" s="39">
        <f t="shared" si="13"/>
        <v>25</v>
      </c>
      <c r="F107" s="20">
        <f t="shared" si="14"/>
        <v>10976.25</v>
      </c>
      <c r="G107" s="20">
        <f t="shared" si="15"/>
        <v>10685</v>
      </c>
    </row>
    <row r="108" spans="1:7" ht="15" customHeight="1" x14ac:dyDescent="0.3">
      <c r="A108" s="31" t="s">
        <v>107</v>
      </c>
      <c r="B108" s="25">
        <v>1000.4</v>
      </c>
      <c r="C108" s="25">
        <v>1040.9000000000001</v>
      </c>
      <c r="D108" s="26">
        <f t="shared" si="12"/>
        <v>4.0483806477409151E-2</v>
      </c>
      <c r="E108" s="40">
        <f t="shared" si="13"/>
        <v>11</v>
      </c>
      <c r="F108" s="25">
        <f t="shared" si="14"/>
        <v>11004.4</v>
      </c>
      <c r="G108" s="25">
        <f t="shared" si="15"/>
        <v>11449.900000000001</v>
      </c>
    </row>
    <row r="109" spans="1:7" ht="15" customHeight="1" x14ac:dyDescent="0.3">
      <c r="A109" s="29" t="s">
        <v>108</v>
      </c>
      <c r="B109" s="20">
        <v>1071.8</v>
      </c>
      <c r="C109" s="20">
        <v>1271</v>
      </c>
      <c r="D109" s="21">
        <f t="shared" si="12"/>
        <v>0.18585557006904277</v>
      </c>
      <c r="E109" s="39">
        <f t="shared" si="13"/>
        <v>10</v>
      </c>
      <c r="F109" s="20">
        <f t="shared" si="14"/>
        <v>10718</v>
      </c>
      <c r="G109" s="20">
        <f t="shared" si="15"/>
        <v>12710</v>
      </c>
    </row>
    <row r="110" spans="1:7" ht="15" customHeight="1" x14ac:dyDescent="0.3">
      <c r="A110" s="31" t="s">
        <v>186</v>
      </c>
      <c r="B110" s="25">
        <v>1404.7</v>
      </c>
      <c r="C110" s="25">
        <v>1559.5</v>
      </c>
      <c r="D110" s="26">
        <f t="shared" si="12"/>
        <v>0.11020146650530359</v>
      </c>
      <c r="E110" s="40">
        <f t="shared" si="13"/>
        <v>8</v>
      </c>
      <c r="F110" s="25">
        <f t="shared" si="14"/>
        <v>11237.6</v>
      </c>
      <c r="G110" s="25">
        <f t="shared" si="15"/>
        <v>12476</v>
      </c>
    </row>
    <row r="111" spans="1:7" ht="15" customHeight="1" x14ac:dyDescent="0.3">
      <c r="A111" s="29" t="s">
        <v>109</v>
      </c>
      <c r="B111" s="20">
        <v>2031.5</v>
      </c>
      <c r="C111" s="20">
        <v>2254.3000000000002</v>
      </c>
      <c r="D111" s="21">
        <f t="shared" si="12"/>
        <v>0.109672655673148</v>
      </c>
      <c r="E111" s="39">
        <f t="shared" si="13"/>
        <v>5</v>
      </c>
      <c r="F111" s="20">
        <f t="shared" si="14"/>
        <v>10157.5</v>
      </c>
      <c r="G111" s="20">
        <f t="shared" si="15"/>
        <v>11271.5</v>
      </c>
    </row>
    <row r="112" spans="1:7" ht="15" customHeight="1" x14ac:dyDescent="0.3">
      <c r="A112" s="31" t="s">
        <v>71</v>
      </c>
      <c r="B112" s="25">
        <v>4794.3</v>
      </c>
      <c r="C112" s="25">
        <v>5011</v>
      </c>
      <c r="D112" s="26">
        <f t="shared" si="12"/>
        <v>4.5199507748784978E-2</v>
      </c>
      <c r="E112" s="40">
        <f t="shared" si="13"/>
        <v>2</v>
      </c>
      <c r="F112" s="25">
        <f t="shared" si="14"/>
        <v>9588.6</v>
      </c>
      <c r="G112" s="25">
        <f t="shared" si="15"/>
        <v>10022</v>
      </c>
    </row>
    <row r="113" spans="1:7" ht="15" customHeight="1" x14ac:dyDescent="0.3">
      <c r="A113" s="29" t="s">
        <v>187</v>
      </c>
      <c r="B113" s="20">
        <v>10775.5</v>
      </c>
      <c r="C113" s="20">
        <v>10652</v>
      </c>
      <c r="D113" s="21">
        <f t="shared" si="12"/>
        <v>-1.1461185095819219E-2</v>
      </c>
      <c r="E113" s="39">
        <f t="shared" si="13"/>
        <v>1</v>
      </c>
      <c r="F113" s="20">
        <f t="shared" si="14"/>
        <v>10775.5</v>
      </c>
      <c r="G113" s="20">
        <f t="shared" si="15"/>
        <v>10652</v>
      </c>
    </row>
    <row r="114" spans="1:7" ht="15" customHeight="1" x14ac:dyDescent="0.3">
      <c r="A114" s="41" t="s">
        <v>75</v>
      </c>
      <c r="B114" s="42"/>
      <c r="C114" s="42"/>
      <c r="D114" s="42"/>
      <c r="E114" s="42"/>
      <c r="F114" s="43">
        <f>SUM(F95:F113)</f>
        <v>203585.65</v>
      </c>
      <c r="G114" s="43">
        <f>SUM(G95:G113)</f>
        <v>206859.86</v>
      </c>
    </row>
    <row r="116" spans="1:7" ht="18" customHeight="1" x14ac:dyDescent="0.3">
      <c r="A116" s="10" t="s">
        <v>89</v>
      </c>
      <c r="B116" s="10"/>
      <c r="C116" s="10"/>
      <c r="D116" s="10"/>
      <c r="E116" s="10"/>
      <c r="F116" s="10"/>
      <c r="G116" s="10"/>
    </row>
    <row r="117" spans="1:7" ht="15" customHeight="1" x14ac:dyDescent="0.3">
      <c r="A117" s="9" t="s">
        <v>77</v>
      </c>
      <c r="B117" s="9"/>
      <c r="C117" s="9"/>
      <c r="D117" s="9"/>
      <c r="E117" s="9"/>
      <c r="F117" s="9"/>
      <c r="G117" s="9"/>
    </row>
    <row r="118" spans="1:7" ht="15.75" customHeight="1" x14ac:dyDescent="0.3">
      <c r="A118" s="36" t="s">
        <v>19</v>
      </c>
      <c r="B118" s="8" t="s">
        <v>52</v>
      </c>
      <c r="C118" s="8"/>
      <c r="D118" s="8" t="s">
        <v>53</v>
      </c>
      <c r="E118" s="8"/>
      <c r="F118" s="8" t="s">
        <v>90</v>
      </c>
      <c r="G118" s="8"/>
    </row>
    <row r="119" spans="1:7" ht="21.75" customHeight="1" x14ac:dyDescent="0.3">
      <c r="A119" s="37">
        <f>COUNT(B123:B141)</f>
        <v>19</v>
      </c>
      <c r="B119" s="7">
        <f>F142</f>
        <v>203585.65</v>
      </c>
      <c r="C119" s="7"/>
      <c r="D119" s="7">
        <f>G142</f>
        <v>212494.55</v>
      </c>
      <c r="E119" s="7"/>
      <c r="F119" s="6">
        <f>(G142-F142)/F142</f>
        <v>4.3759960488374279E-2</v>
      </c>
      <c r="G119" s="6"/>
    </row>
    <row r="121" spans="1:7" ht="18" customHeight="1" x14ac:dyDescent="0.3">
      <c r="A121" s="10" t="s">
        <v>91</v>
      </c>
      <c r="B121" s="10"/>
      <c r="C121" s="10"/>
      <c r="D121" s="10"/>
      <c r="E121" s="10"/>
      <c r="F121" s="10"/>
      <c r="G121" s="10"/>
    </row>
    <row r="122" spans="1:7" ht="15" customHeight="1" x14ac:dyDescent="0.3">
      <c r="A122" s="36" t="s">
        <v>58</v>
      </c>
      <c r="B122" s="36" t="s">
        <v>59</v>
      </c>
      <c r="C122" s="36" t="s">
        <v>92</v>
      </c>
      <c r="D122" s="36" t="s">
        <v>61</v>
      </c>
      <c r="E122" s="36" t="s">
        <v>62</v>
      </c>
      <c r="F122" s="36" t="s">
        <v>63</v>
      </c>
      <c r="G122" s="36" t="s">
        <v>53</v>
      </c>
    </row>
    <row r="123" spans="1:7" ht="15" customHeight="1" x14ac:dyDescent="0.3">
      <c r="A123" s="29" t="s">
        <v>100</v>
      </c>
      <c r="B123" s="20">
        <v>85.16</v>
      </c>
      <c r="C123" s="20">
        <v>85.04</v>
      </c>
      <c r="D123" s="21">
        <f t="shared" ref="D123:D141" si="16">(C123-B123)/B123</f>
        <v>-1.4091122592765422E-3</v>
      </c>
      <c r="E123" s="39">
        <f t="shared" ref="E123:E141" si="17">ROUND($B$29/B123,0)</f>
        <v>127</v>
      </c>
      <c r="F123" s="20">
        <f t="shared" ref="F123:F141" si="18">B123*E123</f>
        <v>10815.32</v>
      </c>
      <c r="G123" s="20">
        <f t="shared" ref="G123:G141" si="19">C123*E123</f>
        <v>10800.08</v>
      </c>
    </row>
    <row r="124" spans="1:7" ht="15" customHeight="1" x14ac:dyDescent="0.3">
      <c r="A124" s="31" t="s">
        <v>182</v>
      </c>
      <c r="B124" s="25">
        <v>125.52</v>
      </c>
      <c r="C124" s="25">
        <v>124.98</v>
      </c>
      <c r="D124" s="26">
        <f t="shared" si="16"/>
        <v>-4.3021032504779481E-3</v>
      </c>
      <c r="E124" s="40">
        <f t="shared" si="17"/>
        <v>86</v>
      </c>
      <c r="F124" s="25">
        <f t="shared" si="18"/>
        <v>10794.72</v>
      </c>
      <c r="G124" s="25">
        <f t="shared" si="19"/>
        <v>10748.28</v>
      </c>
    </row>
    <row r="125" spans="1:7" ht="15" customHeight="1" x14ac:dyDescent="0.3">
      <c r="A125" s="29" t="s">
        <v>119</v>
      </c>
      <c r="B125" s="20">
        <v>139.38</v>
      </c>
      <c r="C125" s="20">
        <v>140.16999999999999</v>
      </c>
      <c r="D125" s="21">
        <f t="shared" si="16"/>
        <v>5.6679581001577847E-3</v>
      </c>
      <c r="E125" s="39">
        <f t="shared" si="17"/>
        <v>77</v>
      </c>
      <c r="F125" s="20">
        <f t="shared" si="18"/>
        <v>10732.26</v>
      </c>
      <c r="G125" s="20">
        <f t="shared" si="19"/>
        <v>10793.089999999998</v>
      </c>
    </row>
    <row r="126" spans="1:7" ht="15" customHeight="1" x14ac:dyDescent="0.3">
      <c r="A126" s="31" t="s">
        <v>64</v>
      </c>
      <c r="B126" s="25">
        <v>280.75</v>
      </c>
      <c r="C126" s="25">
        <v>264.25</v>
      </c>
      <c r="D126" s="26">
        <f t="shared" si="16"/>
        <v>-5.8771148708815675E-2</v>
      </c>
      <c r="E126" s="40">
        <f t="shared" si="17"/>
        <v>38</v>
      </c>
      <c r="F126" s="25">
        <f t="shared" si="18"/>
        <v>10668.5</v>
      </c>
      <c r="G126" s="25">
        <f t="shared" si="19"/>
        <v>10041.5</v>
      </c>
    </row>
    <row r="127" spans="1:7" ht="15" customHeight="1" x14ac:dyDescent="0.3">
      <c r="A127" s="29" t="s">
        <v>103</v>
      </c>
      <c r="B127" s="20">
        <v>280.8</v>
      </c>
      <c r="C127" s="20">
        <v>280.75</v>
      </c>
      <c r="D127" s="21">
        <f t="shared" si="16"/>
        <v>-1.7806267806271854E-4</v>
      </c>
      <c r="E127" s="39">
        <f t="shared" si="17"/>
        <v>38</v>
      </c>
      <c r="F127" s="20">
        <f t="shared" si="18"/>
        <v>10670.4</v>
      </c>
      <c r="G127" s="20">
        <f t="shared" si="19"/>
        <v>10668.5</v>
      </c>
    </row>
    <row r="128" spans="1:7" ht="15" customHeight="1" x14ac:dyDescent="0.3">
      <c r="A128" s="31" t="s">
        <v>183</v>
      </c>
      <c r="B128" s="25">
        <v>286.3</v>
      </c>
      <c r="C128" s="25">
        <v>284.25</v>
      </c>
      <c r="D128" s="26">
        <f t="shared" si="16"/>
        <v>-7.1603213412504757E-3</v>
      </c>
      <c r="E128" s="40">
        <f t="shared" si="17"/>
        <v>38</v>
      </c>
      <c r="F128" s="25">
        <f t="shared" si="18"/>
        <v>10879.4</v>
      </c>
      <c r="G128" s="25">
        <f t="shared" si="19"/>
        <v>10801.5</v>
      </c>
    </row>
    <row r="129" spans="1:7" ht="15" customHeight="1" x14ac:dyDescent="0.3">
      <c r="A129" s="29" t="s">
        <v>104</v>
      </c>
      <c r="B129" s="20">
        <v>286.95</v>
      </c>
      <c r="C129" s="20">
        <v>281</v>
      </c>
      <c r="D129" s="21">
        <f t="shared" si="16"/>
        <v>-2.0735319742115312E-2</v>
      </c>
      <c r="E129" s="39">
        <f t="shared" si="17"/>
        <v>38</v>
      </c>
      <c r="F129" s="20">
        <f t="shared" si="18"/>
        <v>10904.1</v>
      </c>
      <c r="G129" s="20">
        <f t="shared" si="19"/>
        <v>10678</v>
      </c>
    </row>
    <row r="130" spans="1:7" ht="15" customHeight="1" x14ac:dyDescent="0.3">
      <c r="A130" s="31" t="s">
        <v>120</v>
      </c>
      <c r="B130" s="25">
        <v>303.55</v>
      </c>
      <c r="C130" s="25">
        <v>319.75</v>
      </c>
      <c r="D130" s="26">
        <f t="shared" si="16"/>
        <v>5.336847306868716E-2</v>
      </c>
      <c r="E130" s="40">
        <f t="shared" si="17"/>
        <v>35</v>
      </c>
      <c r="F130" s="25">
        <f t="shared" si="18"/>
        <v>10624.25</v>
      </c>
      <c r="G130" s="25">
        <f t="shared" si="19"/>
        <v>11191.25</v>
      </c>
    </row>
    <row r="131" spans="1:7" ht="15" customHeight="1" x14ac:dyDescent="0.3">
      <c r="A131" s="29" t="s">
        <v>105</v>
      </c>
      <c r="B131" s="20">
        <v>339.6</v>
      </c>
      <c r="C131" s="20">
        <v>350.05</v>
      </c>
      <c r="D131" s="21">
        <f t="shared" si="16"/>
        <v>3.077149587750291E-2</v>
      </c>
      <c r="E131" s="39">
        <f t="shared" si="17"/>
        <v>32</v>
      </c>
      <c r="F131" s="20">
        <f t="shared" si="18"/>
        <v>10867.2</v>
      </c>
      <c r="G131" s="20">
        <f t="shared" si="19"/>
        <v>11201.6</v>
      </c>
    </row>
    <row r="132" spans="1:7" ht="15" customHeight="1" x14ac:dyDescent="0.3">
      <c r="A132" s="31" t="s">
        <v>184</v>
      </c>
      <c r="B132" s="25">
        <v>363.8</v>
      </c>
      <c r="C132" s="25">
        <v>372.95</v>
      </c>
      <c r="D132" s="26">
        <f t="shared" si="16"/>
        <v>2.5151181968114285E-2</v>
      </c>
      <c r="E132" s="40">
        <f t="shared" si="17"/>
        <v>30</v>
      </c>
      <c r="F132" s="25">
        <f t="shared" si="18"/>
        <v>10914</v>
      </c>
      <c r="G132" s="25">
        <f t="shared" si="19"/>
        <v>11188.5</v>
      </c>
    </row>
    <row r="133" spans="1:7" ht="15" customHeight="1" x14ac:dyDescent="0.3">
      <c r="A133" s="29" t="s">
        <v>122</v>
      </c>
      <c r="B133" s="20">
        <v>394.45</v>
      </c>
      <c r="C133" s="20">
        <v>389.75</v>
      </c>
      <c r="D133" s="21">
        <f t="shared" si="16"/>
        <v>-1.1915325136265658E-2</v>
      </c>
      <c r="E133" s="39">
        <f t="shared" si="17"/>
        <v>27</v>
      </c>
      <c r="F133" s="20">
        <f t="shared" si="18"/>
        <v>10650.15</v>
      </c>
      <c r="G133" s="20">
        <f t="shared" si="19"/>
        <v>10523.25</v>
      </c>
    </row>
    <row r="134" spans="1:7" ht="15" customHeight="1" x14ac:dyDescent="0.3">
      <c r="A134" s="31" t="s">
        <v>185</v>
      </c>
      <c r="B134" s="25">
        <v>424.3</v>
      </c>
      <c r="C134" s="25">
        <v>424.35</v>
      </c>
      <c r="D134" s="26">
        <f t="shared" si="16"/>
        <v>1.1784115012965205E-4</v>
      </c>
      <c r="E134" s="40">
        <f t="shared" si="17"/>
        <v>25</v>
      </c>
      <c r="F134" s="25">
        <f t="shared" si="18"/>
        <v>10607.5</v>
      </c>
      <c r="G134" s="25">
        <f t="shared" si="19"/>
        <v>10608.75</v>
      </c>
    </row>
    <row r="135" spans="1:7" ht="15" customHeight="1" x14ac:dyDescent="0.3">
      <c r="A135" s="29" t="s">
        <v>106</v>
      </c>
      <c r="B135" s="20">
        <v>439.05</v>
      </c>
      <c r="C135" s="20">
        <v>414.15</v>
      </c>
      <c r="D135" s="21">
        <f t="shared" si="16"/>
        <v>-5.6713358387427477E-2</v>
      </c>
      <c r="E135" s="39">
        <f t="shared" si="17"/>
        <v>25</v>
      </c>
      <c r="F135" s="20">
        <f t="shared" si="18"/>
        <v>10976.25</v>
      </c>
      <c r="G135" s="20">
        <f t="shared" si="19"/>
        <v>10353.75</v>
      </c>
    </row>
    <row r="136" spans="1:7" ht="15" customHeight="1" x14ac:dyDescent="0.3">
      <c r="A136" s="31" t="s">
        <v>107</v>
      </c>
      <c r="B136" s="25">
        <v>1000.4</v>
      </c>
      <c r="C136" s="25">
        <v>1130.0999999999999</v>
      </c>
      <c r="D136" s="26">
        <f t="shared" si="16"/>
        <v>0.12964814074370246</v>
      </c>
      <c r="E136" s="40">
        <f t="shared" si="17"/>
        <v>11</v>
      </c>
      <c r="F136" s="25">
        <f t="shared" si="18"/>
        <v>11004.4</v>
      </c>
      <c r="G136" s="25">
        <f t="shared" si="19"/>
        <v>12431.099999999999</v>
      </c>
    </row>
    <row r="137" spans="1:7" ht="15" customHeight="1" x14ac:dyDescent="0.3">
      <c r="A137" s="29" t="s">
        <v>108</v>
      </c>
      <c r="B137" s="20">
        <v>1071.8</v>
      </c>
      <c r="C137" s="20">
        <v>1346.9</v>
      </c>
      <c r="D137" s="21">
        <f t="shared" si="16"/>
        <v>0.25667102071281972</v>
      </c>
      <c r="E137" s="39">
        <f t="shared" si="17"/>
        <v>10</v>
      </c>
      <c r="F137" s="20">
        <f t="shared" si="18"/>
        <v>10718</v>
      </c>
      <c r="G137" s="20">
        <f t="shared" si="19"/>
        <v>13469</v>
      </c>
    </row>
    <row r="138" spans="1:7" ht="15" customHeight="1" x14ac:dyDescent="0.3">
      <c r="A138" s="31" t="s">
        <v>186</v>
      </c>
      <c r="B138" s="25">
        <v>1404.7</v>
      </c>
      <c r="C138" s="25">
        <v>1651.3</v>
      </c>
      <c r="D138" s="26">
        <f t="shared" si="16"/>
        <v>0.17555349896775105</v>
      </c>
      <c r="E138" s="40">
        <f t="shared" si="17"/>
        <v>8</v>
      </c>
      <c r="F138" s="25">
        <f t="shared" si="18"/>
        <v>11237.6</v>
      </c>
      <c r="G138" s="25">
        <f t="shared" si="19"/>
        <v>13210.4</v>
      </c>
    </row>
    <row r="139" spans="1:7" ht="15" customHeight="1" x14ac:dyDescent="0.3">
      <c r="A139" s="29" t="s">
        <v>109</v>
      </c>
      <c r="B139" s="20">
        <v>2031.5</v>
      </c>
      <c r="C139" s="20">
        <v>2365.6</v>
      </c>
      <c r="D139" s="21">
        <f t="shared" si="16"/>
        <v>0.164459758798917</v>
      </c>
      <c r="E139" s="39">
        <f t="shared" si="17"/>
        <v>5</v>
      </c>
      <c r="F139" s="20">
        <f t="shared" si="18"/>
        <v>10157.5</v>
      </c>
      <c r="G139" s="20">
        <f t="shared" si="19"/>
        <v>11828</v>
      </c>
    </row>
    <row r="140" spans="1:7" ht="15" customHeight="1" x14ac:dyDescent="0.3">
      <c r="A140" s="31" t="s">
        <v>71</v>
      </c>
      <c r="B140" s="25">
        <v>4794.3</v>
      </c>
      <c r="C140" s="25">
        <v>5386</v>
      </c>
      <c r="D140" s="26">
        <f t="shared" si="16"/>
        <v>0.12341739148572259</v>
      </c>
      <c r="E140" s="40">
        <f t="shared" si="17"/>
        <v>2</v>
      </c>
      <c r="F140" s="25">
        <f t="shared" si="18"/>
        <v>9588.6</v>
      </c>
      <c r="G140" s="25">
        <f t="shared" si="19"/>
        <v>10772</v>
      </c>
    </row>
    <row r="141" spans="1:7" ht="15" customHeight="1" x14ac:dyDescent="0.3">
      <c r="A141" s="29" t="s">
        <v>187</v>
      </c>
      <c r="B141" s="20">
        <v>10775.5</v>
      </c>
      <c r="C141" s="20">
        <v>11186</v>
      </c>
      <c r="D141" s="21">
        <f t="shared" si="16"/>
        <v>3.8095680014848497E-2</v>
      </c>
      <c r="E141" s="39">
        <f t="shared" si="17"/>
        <v>1</v>
      </c>
      <c r="F141" s="20">
        <f t="shared" si="18"/>
        <v>10775.5</v>
      </c>
      <c r="G141" s="20">
        <f t="shared" si="19"/>
        <v>11186</v>
      </c>
    </row>
    <row r="142" spans="1:7" ht="15" customHeight="1" x14ac:dyDescent="0.3">
      <c r="A142" s="41" t="s">
        <v>75</v>
      </c>
      <c r="B142" s="42"/>
      <c r="C142" s="42"/>
      <c r="D142" s="42"/>
      <c r="E142" s="42"/>
      <c r="F142" s="43">
        <f>SUM(F123:F141)</f>
        <v>203585.65</v>
      </c>
      <c r="G142" s="43">
        <f>SUM(G123:G141)</f>
        <v>212494.55</v>
      </c>
    </row>
    <row r="144" spans="1:7" ht="39.75" customHeight="1" x14ac:dyDescent="0.3">
      <c r="A144" s="5" t="s">
        <v>93</v>
      </c>
      <c r="B144" s="5"/>
      <c r="C144" s="5"/>
      <c r="D144" s="5"/>
      <c r="E144" s="5"/>
      <c r="F144" s="5"/>
      <c r="G144" s="5"/>
    </row>
  </sheetData>
  <mergeCells count="48">
    <mergeCell ref="B119:C119"/>
    <mergeCell ref="D119:E119"/>
    <mergeCell ref="F119:G119"/>
    <mergeCell ref="A121:G121"/>
    <mergeCell ref="A144:G144"/>
    <mergeCell ref="A93:G93"/>
    <mergeCell ref="A116:G116"/>
    <mergeCell ref="A117:G117"/>
    <mergeCell ref="B118:C118"/>
    <mergeCell ref="D118:E118"/>
    <mergeCell ref="F118:G118"/>
    <mergeCell ref="A89:G89"/>
    <mergeCell ref="B90:C90"/>
    <mergeCell ref="D90:E90"/>
    <mergeCell ref="F90:G90"/>
    <mergeCell ref="B91:C91"/>
    <mergeCell ref="D91:E91"/>
    <mergeCell ref="F91:G91"/>
    <mergeCell ref="B63:C63"/>
    <mergeCell ref="D63:E63"/>
    <mergeCell ref="F63:G63"/>
    <mergeCell ref="A65:G65"/>
    <mergeCell ref="A88:G88"/>
    <mergeCell ref="A37:G37"/>
    <mergeCell ref="A60:G60"/>
    <mergeCell ref="A61:G61"/>
    <mergeCell ref="B62:C62"/>
    <mergeCell ref="D62:E62"/>
    <mergeCell ref="F62:G62"/>
    <mergeCell ref="A33:G33"/>
    <mergeCell ref="B34:C34"/>
    <mergeCell ref="D34:E34"/>
    <mergeCell ref="F34:G34"/>
    <mergeCell ref="B35:C35"/>
    <mergeCell ref="D35:E35"/>
    <mergeCell ref="F35:G35"/>
    <mergeCell ref="B7:C7"/>
    <mergeCell ref="D7:E7"/>
    <mergeCell ref="F7:G7"/>
    <mergeCell ref="A9:G9"/>
    <mergeCell ref="A32:G32"/>
    <mergeCell ref="A1:G1"/>
    <mergeCell ref="A2:G2"/>
    <mergeCell ref="A4:G4"/>
    <mergeCell ref="A5:G5"/>
    <mergeCell ref="B6:C6"/>
    <mergeCell ref="D6:E6"/>
    <mergeCell ref="F6:G6"/>
  </mergeCells>
  <conditionalFormatting sqref="F7">
    <cfRule type="cellIs" dxfId="9" priority="2" operator="greaterThanOrEqual">
      <formula>0</formula>
    </cfRule>
    <cfRule type="cellIs" dxfId="8" priority="3" operator="lessThan">
      <formula>0</formula>
    </cfRule>
  </conditionalFormatting>
  <conditionalFormatting sqref="F35">
    <cfRule type="cellIs" dxfId="7" priority="4" operator="greaterThanOrEqual">
      <formula>0</formula>
    </cfRule>
    <cfRule type="cellIs" dxfId="6" priority="5" operator="lessThan">
      <formula>0</formula>
    </cfRule>
  </conditionalFormatting>
  <conditionalFormatting sqref="F63">
    <cfRule type="cellIs" dxfId="5" priority="6" operator="greaterThanOrEqual">
      <formula>0</formula>
    </cfRule>
    <cfRule type="cellIs" dxfId="4" priority="7" operator="lessThan">
      <formula>0</formula>
    </cfRule>
  </conditionalFormatting>
  <conditionalFormatting sqref="F91">
    <cfRule type="cellIs" dxfId="3" priority="8" operator="greaterThanOrEqual">
      <formula>0</formula>
    </cfRule>
    <cfRule type="cellIs" dxfId="2" priority="9" operator="lessThan">
      <formula>0</formula>
    </cfRule>
  </conditionalFormatting>
  <conditionalFormatting sqref="F119">
    <cfRule type="cellIs" dxfId="1" priority="10" operator="greaterThanOrEqual">
      <formula>0</formula>
    </cfRule>
    <cfRule type="cellIs" dxfId="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Content</vt:lpstr>
      <vt:lpstr>Method 1</vt:lpstr>
      <vt:lpstr>Method 2</vt:lpstr>
      <vt:lpstr>Method 3</vt:lpstr>
      <vt:lpstr>Method 4</vt:lpstr>
      <vt:lpstr>Method 5</vt:lpstr>
      <vt:lpstr>Method 6</vt:lpstr>
      <vt:lpstr>Method Self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Vishvjeet Thakur</cp:lastModifiedBy>
  <cp:revision>0</cp:revision>
  <dcterms:created xsi:type="dcterms:W3CDTF">2026-08-01T06:35:31Z</dcterms:created>
  <dcterms:modified xsi:type="dcterms:W3CDTF">2026-08-01T10:17:44Z</dcterms:modified>
  <dc:language>en-US</dc:language>
</cp:coreProperties>
</file>