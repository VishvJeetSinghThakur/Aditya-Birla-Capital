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v\Downloads\ABCL\Asset Allocation\Equity_Research_PMS\"/>
    </mc:Choice>
  </mc:AlternateContent>
  <xr:revisionPtr revIDLastSave="0" documentId="13_ncr:1_{2147C99C-673F-4C0F-A468-01857BAB14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ver" sheetId="1" r:id="rId1"/>
    <sheet name="1. Valuation Screen" sheetId="2" r:id="rId2"/>
    <sheet name="2. Fundamental Ranking" sheetId="3" r:id="rId3"/>
    <sheet name="3. Weighted Normalize Model" sheetId="4" r:id="rId4"/>
    <sheet name="4. Portfolio Alloc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4" l="1"/>
  <c r="I13" i="4"/>
  <c r="E17" i="5"/>
  <c r="E16" i="5"/>
  <c r="E15" i="5"/>
  <c r="E14" i="5"/>
  <c r="E13" i="5"/>
  <c r="E12" i="5"/>
  <c r="E11" i="5"/>
  <c r="E10" i="5"/>
  <c r="E9" i="5"/>
  <c r="E8" i="5"/>
  <c r="G22" i="4"/>
  <c r="F22" i="4"/>
  <c r="E22" i="4"/>
  <c r="D22" i="4"/>
  <c r="C22" i="4"/>
  <c r="H22" i="4" s="1"/>
  <c r="G21" i="4"/>
  <c r="F21" i="4"/>
  <c r="E21" i="4"/>
  <c r="D21" i="4"/>
  <c r="C21" i="4"/>
  <c r="H21" i="4" s="1"/>
  <c r="H20" i="4"/>
  <c r="G20" i="4"/>
  <c r="F20" i="4"/>
  <c r="E20" i="4"/>
  <c r="D20" i="4"/>
  <c r="C20" i="4"/>
  <c r="G19" i="4"/>
  <c r="F19" i="4"/>
  <c r="E19" i="4"/>
  <c r="D19" i="4"/>
  <c r="C19" i="4"/>
  <c r="H19" i="4" s="1"/>
  <c r="G18" i="4"/>
  <c r="F18" i="4"/>
  <c r="E18" i="4"/>
  <c r="D18" i="4"/>
  <c r="C18" i="4"/>
  <c r="H18" i="4" s="1"/>
  <c r="G17" i="4"/>
  <c r="F17" i="4"/>
  <c r="E17" i="4"/>
  <c r="D17" i="4"/>
  <c r="C17" i="4"/>
  <c r="H17" i="4" s="1"/>
  <c r="I17" i="4" s="1"/>
  <c r="F12" i="5" s="1"/>
  <c r="H16" i="4"/>
  <c r="I16" i="4" s="1"/>
  <c r="F11" i="5" s="1"/>
  <c r="G16" i="4"/>
  <c r="F16" i="4"/>
  <c r="E16" i="4"/>
  <c r="D16" i="4"/>
  <c r="C16" i="4"/>
  <c r="H15" i="4"/>
  <c r="F10" i="5" s="1"/>
  <c r="G15" i="4"/>
  <c r="F15" i="4"/>
  <c r="E15" i="4"/>
  <c r="D15" i="4"/>
  <c r="C15" i="4"/>
  <c r="G14" i="4"/>
  <c r="F14" i="4"/>
  <c r="E14" i="4"/>
  <c r="D14" i="4"/>
  <c r="C14" i="4"/>
  <c r="H14" i="4" s="1"/>
  <c r="G13" i="4"/>
  <c r="F13" i="4"/>
  <c r="E13" i="4"/>
  <c r="D13" i="4"/>
  <c r="C13" i="4"/>
  <c r="H13" i="4" s="1"/>
  <c r="K10" i="4"/>
  <c r="L13" i="3"/>
  <c r="J13" i="3"/>
  <c r="H13" i="3"/>
  <c r="F13" i="3"/>
  <c r="D13" i="3"/>
  <c r="L12" i="3"/>
  <c r="J12" i="3"/>
  <c r="H12" i="3"/>
  <c r="F12" i="3"/>
  <c r="D12" i="3"/>
  <c r="L11" i="3"/>
  <c r="J11" i="3"/>
  <c r="H11" i="3"/>
  <c r="F11" i="3"/>
  <c r="D11" i="3"/>
  <c r="L10" i="3"/>
  <c r="J10" i="3"/>
  <c r="H10" i="3"/>
  <c r="F10" i="3"/>
  <c r="D10" i="3"/>
  <c r="L9" i="3"/>
  <c r="J9" i="3"/>
  <c r="H9" i="3"/>
  <c r="F9" i="3"/>
  <c r="D9" i="3"/>
  <c r="L8" i="3"/>
  <c r="J8" i="3"/>
  <c r="H8" i="3"/>
  <c r="F8" i="3"/>
  <c r="D8" i="3"/>
  <c r="L7" i="3"/>
  <c r="J7" i="3"/>
  <c r="H7" i="3"/>
  <c r="F7" i="3"/>
  <c r="D7" i="3"/>
  <c r="L6" i="3"/>
  <c r="J6" i="3"/>
  <c r="H6" i="3"/>
  <c r="F6" i="3"/>
  <c r="D6" i="3"/>
  <c r="L5" i="3"/>
  <c r="J5" i="3"/>
  <c r="H5" i="3"/>
  <c r="F5" i="3"/>
  <c r="D5" i="3"/>
  <c r="L4" i="3"/>
  <c r="J4" i="3"/>
  <c r="H4" i="3"/>
  <c r="F4" i="3"/>
  <c r="D4" i="3"/>
  <c r="E19" i="2"/>
  <c r="P18" i="2"/>
  <c r="Q18" i="2" s="1"/>
  <c r="L18" i="2"/>
  <c r="K18" i="2"/>
  <c r="M18" i="2" s="1"/>
  <c r="P17" i="2"/>
  <c r="Q17" i="2" s="1"/>
  <c r="L17" i="2"/>
  <c r="K17" i="2"/>
  <c r="M17" i="2" s="1"/>
  <c r="P16" i="2"/>
  <c r="Q16" i="2" s="1"/>
  <c r="L16" i="2"/>
  <c r="K16" i="2"/>
  <c r="M16" i="2" s="1"/>
  <c r="P15" i="2"/>
  <c r="Q15" i="2" s="1"/>
  <c r="L15" i="2"/>
  <c r="K15" i="2"/>
  <c r="M15" i="2" s="1"/>
  <c r="P14" i="2"/>
  <c r="Q14" i="2" s="1"/>
  <c r="L14" i="2"/>
  <c r="K14" i="2"/>
  <c r="M14" i="2" s="1"/>
  <c r="P13" i="2"/>
  <c r="Q13" i="2" s="1"/>
  <c r="L13" i="2"/>
  <c r="K13" i="2"/>
  <c r="M13" i="2" s="1"/>
  <c r="P12" i="2"/>
  <c r="Q12" i="2" s="1"/>
  <c r="L12" i="2"/>
  <c r="K12" i="2"/>
  <c r="M12" i="2" s="1"/>
  <c r="P11" i="2"/>
  <c r="Q11" i="2" s="1"/>
  <c r="L11" i="2"/>
  <c r="K11" i="2"/>
  <c r="M11" i="2" s="1"/>
  <c r="P10" i="2"/>
  <c r="Q10" i="2" s="1"/>
  <c r="L10" i="2"/>
  <c r="K10" i="2"/>
  <c r="M10" i="2" s="1"/>
  <c r="P9" i="2"/>
  <c r="Q9" i="2" s="1"/>
  <c r="L9" i="2"/>
  <c r="K9" i="2"/>
  <c r="M9" i="2" s="1"/>
  <c r="P8" i="2"/>
  <c r="Q8" i="2" s="1"/>
  <c r="L8" i="2"/>
  <c r="K8" i="2"/>
  <c r="M8" i="2" s="1"/>
  <c r="P7" i="2"/>
  <c r="Q7" i="2" s="1"/>
  <c r="L7" i="2"/>
  <c r="K7" i="2"/>
  <c r="M7" i="2" s="1"/>
  <c r="P6" i="2"/>
  <c r="Q6" i="2" s="1"/>
  <c r="L6" i="2"/>
  <c r="K6" i="2"/>
  <c r="M6" i="2" s="1"/>
  <c r="P5" i="2"/>
  <c r="Q5" i="2" s="1"/>
  <c r="L5" i="2"/>
  <c r="K5" i="2"/>
  <c r="M5" i="2" s="1"/>
  <c r="P4" i="2"/>
  <c r="Q4" i="2" s="1"/>
  <c r="L4" i="2"/>
  <c r="K4" i="2"/>
  <c r="M4" i="2" s="1"/>
  <c r="G9" i="5" l="1"/>
  <c r="H9" i="5" s="1"/>
  <c r="G17" i="5"/>
  <c r="H17" i="5" s="1"/>
  <c r="G14" i="5"/>
  <c r="H14" i="5" s="1"/>
  <c r="G13" i="5"/>
  <c r="H13" i="5" s="1"/>
  <c r="G11" i="5"/>
  <c r="H11" i="5" s="1"/>
  <c r="G16" i="5"/>
  <c r="H16" i="5" s="1"/>
  <c r="G15" i="5"/>
  <c r="H15" i="5" s="1"/>
  <c r="G12" i="5"/>
  <c r="H12" i="5" s="1"/>
  <c r="G10" i="5"/>
  <c r="H10" i="5" s="1"/>
  <c r="G8" i="5"/>
  <c r="E18" i="5"/>
  <c r="F16" i="2"/>
  <c r="R16" i="2" s="1"/>
  <c r="F17" i="2"/>
  <c r="R17" i="2" s="1"/>
  <c r="F15" i="2"/>
  <c r="R15" i="2" s="1"/>
  <c r="F14" i="2"/>
  <c r="R14" i="2" s="1"/>
  <c r="F13" i="2"/>
  <c r="R13" i="2" s="1"/>
  <c r="F12" i="2"/>
  <c r="R12" i="2" s="1"/>
  <c r="F11" i="2"/>
  <c r="R11" i="2" s="1"/>
  <c r="F10" i="2"/>
  <c r="R10" i="2" s="1"/>
  <c r="F9" i="2"/>
  <c r="R9" i="2" s="1"/>
  <c r="F8" i="2"/>
  <c r="R8" i="2" s="1"/>
  <c r="F7" i="2"/>
  <c r="R7" i="2" s="1"/>
  <c r="F6" i="2"/>
  <c r="R6" i="2" s="1"/>
  <c r="F5" i="2"/>
  <c r="R5" i="2" s="1"/>
  <c r="F4" i="2"/>
  <c r="R4" i="2" s="1"/>
  <c r="F18" i="2"/>
  <c r="R18" i="2" s="1"/>
  <c r="I14" i="4"/>
  <c r="F9" i="5" s="1"/>
  <c r="F8" i="5"/>
  <c r="I21" i="4"/>
  <c r="F16" i="5" s="1"/>
  <c r="I20" i="4"/>
  <c r="F15" i="5" s="1"/>
  <c r="I18" i="4"/>
  <c r="F13" i="5" s="1"/>
  <c r="I22" i="4"/>
  <c r="F17" i="5" s="1"/>
  <c r="I19" i="4"/>
  <c r="F14" i="5" s="1"/>
  <c r="H8" i="5" l="1"/>
  <c r="G18" i="5"/>
  <c r="I10" i="5" l="1"/>
  <c r="I11" i="5"/>
  <c r="I13" i="5"/>
  <c r="I14" i="5"/>
  <c r="I15" i="5"/>
  <c r="I17" i="5"/>
  <c r="I9" i="5"/>
  <c r="I12" i="5"/>
  <c r="I16" i="5"/>
  <c r="I8" i="5"/>
  <c r="H18" i="5"/>
  <c r="I18" i="5" l="1"/>
</calcChain>
</file>

<file path=xl/sharedStrings.xml><?xml version="1.0" encoding="utf-8"?>
<sst xmlns="http://schemas.openxmlformats.org/spreadsheetml/2006/main" count="196" uniqueCount="121">
  <si>
    <t>Relative Valuation (PE/PEG) · Fundamental Ranking · Weighted Normalize Model · Rank-Weighted Portfolio Allocation</t>
  </si>
  <si>
    <t>Prepared for:</t>
  </si>
  <si>
    <t>Coverage universe:</t>
  </si>
  <si>
    <t>15 listed NBFCs / HFCs (India)</t>
  </si>
  <si>
    <t>Period:</t>
  </si>
  <si>
    <t>FY25 actual, FY26E estimates</t>
  </si>
  <si>
    <t>Contents</t>
  </si>
  <si>
    <t>1. Valuation Screen</t>
  </si>
  <si>
    <t>Relative PE valuation and PEG screen across all 15 names.</t>
  </si>
  <si>
    <t>2. Fundamental Ranking</t>
  </si>
  <si>
    <t>Metric-by-metric rank (GNPA, NIM, ROA, CAR, ROE) for the 10 names with full disclosure.</t>
  </si>
  <si>
    <t>3. Weighted Normalize Model</t>
  </si>
  <si>
    <t>Min-max normalized weights blend the five metrics into one composite score and overall rank (higher score = better).</t>
  </si>
  <si>
    <t>4. Portfolio Allocation</t>
  </si>
  <si>
    <t>Links the model's overall rank to share holdings for the model PMS portfolio.</t>
  </si>
  <si>
    <t>How this workbook is colour-coded</t>
  </si>
  <si>
    <t>Blue text</t>
  </si>
  <si>
    <t>Hardcoded input (price, share count, weight assumption) — safe to edit</t>
  </si>
  <si>
    <t>Black text</t>
  </si>
  <si>
    <t>Formula calculated within the same sheet</t>
  </si>
  <si>
    <t>Green text</t>
  </si>
  <si>
    <t>Formula linked from another sheet (single source of truth — edit at the source)</t>
  </si>
  <si>
    <t>Key assumptions &amp; sources</t>
  </si>
  <si>
    <t>•  Market cap, CMP, revenue, profit, EPS and PE figures: company investor presentations / NSE &amp; BSE filings / FY25 annual reports and FY26E consensus estimates, as compiled by the user.</t>
  </si>
  <si>
    <t>•  GNPA, NIM, ROA, CAR/CRAR and ROE for the 10 fully-disclosed names: company FY26 investor presentations and regulatory filings, as compiled by the user.</t>
  </si>
  <si>
    <t>•  Composite weighting (GNPA 30% / NIM 25% / ROA 20% / CAR 15% / ROE 10%) is an editable analyst assumption — change the yellow cells on '3. Weighted Normalize Model'.</t>
  </si>
  <si>
    <t>•  Each metric is min-max normalized across the 10 disclosed names (0 = worst, 1 = best) before weighting; GNPA is inverted since lower is better.</t>
  </si>
  <si>
    <t>•  Share holdings on '4. Portfolio Allocation' are user-specified inputs (blue); Overall Rank is linked live from '3. Weighted Normalize Model'.</t>
  </si>
  <si>
    <t>NBFC Sector — Equity Research: Relative Valuation &amp; PEG Screen (FY25–FY26E)</t>
  </si>
  <si>
    <t>Valuation Call = PE Ratio vs. peer-set average PE   |   PEG Ratio = PE Ratio ÷ EPS Growth (%)   |   PEG Assessment applies only to "Over Value" names</t>
  </si>
  <si>
    <t>Company Name</t>
  </si>
  <si>
    <t>Ticker</t>
  </si>
  <si>
    <t>Market Cap (₹ Cr)</t>
  </si>
  <si>
    <t>CMP (₹)</t>
  </si>
  <si>
    <t>PE Ratio (x)</t>
  </si>
  <si>
    <t>Valuation Call</t>
  </si>
  <si>
    <t>Revenue FY25 (₹ Cr)</t>
  </si>
  <si>
    <t>Revenue FY26E (₹ Cr)</t>
  </si>
  <si>
    <t>Profit FY25 (₹ Cr)</t>
  </si>
  <si>
    <t>Profit FY26E (₹ Cr)</t>
  </si>
  <si>
    <t>Revenue Growth?</t>
  </si>
  <si>
    <t>Profit Growth?</t>
  </si>
  <si>
    <t>Growth Screen</t>
  </si>
  <si>
    <t>EPS FY25 (₹)</t>
  </si>
  <si>
    <t>EPS FY26E (₹)</t>
  </si>
  <si>
    <t>EPS Growth (%)</t>
  </si>
  <si>
    <t>PEG Ratio (x)</t>
  </si>
  <si>
    <t>PEG Assessment</t>
  </si>
  <si>
    <t>GNPA</t>
  </si>
  <si>
    <t>NIM</t>
  </si>
  <si>
    <t>ROA</t>
  </si>
  <si>
    <t>CAR/CRAR</t>
  </si>
  <si>
    <t>ROE</t>
  </si>
  <si>
    <t>Aavas Financiers</t>
  </si>
  <si>
    <t>AAVAS</t>
  </si>
  <si>
    <t>Home First Finance Company India</t>
  </si>
  <si>
    <t>HOMEFIRST</t>
  </si>
  <si>
    <t>Five-Star Business Finance</t>
  </si>
  <si>
    <t>FIVESTAR</t>
  </si>
  <si>
    <t>IIFL Finance</t>
  </si>
  <si>
    <t>IIFL</t>
  </si>
  <si>
    <t>LIC Housing Finance</t>
  </si>
  <si>
    <t>LICHSGFIN</t>
  </si>
  <si>
    <t>Mahindra &amp; Mahindra Financial Services</t>
  </si>
  <si>
    <t>M&amp;MFIN</t>
  </si>
  <si>
    <t>Sundaram Finance</t>
  </si>
  <si>
    <t>SUNDARMFIN</t>
  </si>
  <si>
    <t>Muthoot Finance</t>
  </si>
  <si>
    <t>MUTHOOTFIN</t>
  </si>
  <si>
    <t>Shriram Finance</t>
  </si>
  <si>
    <t>SHRIRAMFIN</t>
  </si>
  <si>
    <t>Manappuram Finance</t>
  </si>
  <si>
    <t>MANAPPURAM</t>
  </si>
  <si>
    <t>Poonawalla Fincorp</t>
  </si>
  <si>
    <t>POONAWALLA</t>
  </si>
  <si>
    <t>L&amp;T Finance</t>
  </si>
  <si>
    <t>LTF</t>
  </si>
  <si>
    <t>Aditya Birla Capital</t>
  </si>
  <si>
    <t>ABCAPITAL</t>
  </si>
  <si>
    <t>Cholamandalam Investment and Finance Company</t>
  </si>
  <si>
    <t>CHOLAFIN</t>
  </si>
  <si>
    <t>Bajaj Finance</t>
  </si>
  <si>
    <t>BAJFINANCE</t>
  </si>
  <si>
    <t>Sector Avg PE →</t>
  </si>
  <si>
    <t>Note: GNPA / NIM / ROA / CAR / ROE are disclosed for the 10 names carried forward into the ranking and weighted-score sheets; the remaining 5 names lack comparable disclosure and are excluded from that analysis.</t>
  </si>
  <si>
    <t>NBFC Fundamental Ranking — Normal Method (1 = best on that metric)</t>
  </si>
  <si>
    <t>Each metric is ranked independently across the 10 companies with full disclosure. GNPA is ranked ascending (lower is better); all other metrics are ranked descending (higher is better).</t>
  </si>
  <si>
    <t>Gross NPA
(GNPA)</t>
  </si>
  <si>
    <t>Rank
(1 = lowest)</t>
  </si>
  <si>
    <t>Net Interest Margin
(NIM)</t>
  </si>
  <si>
    <t>Rank
(1 = highest)</t>
  </si>
  <si>
    <t>Return on Assets
(ROA)</t>
  </si>
  <si>
    <t>Capital Adequacy Ratio
(CAR/CRAR)</t>
  </si>
  <si>
    <t>Return on Equity
(ROE)</t>
  </si>
  <si>
    <t>Cholamandalam Finance</t>
  </si>
  <si>
    <t>Metric values (blue) are user-compiled inputs and may differ marginally from the headline figures on '1. Valuation Screen' (restated disclosures / rounding). Rank columns are formulas.</t>
  </si>
  <si>
    <t>NBFC Weighted Normalize Model</t>
  </si>
  <si>
    <t>Each metric is min-max normalized across the 10 disclosed names (1 = best, 0 = worst); GNPA is inverted since lower is better. Composite = Σ (normalized value × weight). Higher composite = better overall rank. Edit the yellow weight cells to re-run the model.</t>
  </si>
  <si>
    <t>Weight assumptions</t>
  </si>
  <si>
    <t>CAR</t>
  </si>
  <si>
    <t>Total</t>
  </si>
  <si>
    <t>GNPA
Weighted</t>
  </si>
  <si>
    <t>NIM
Weighted</t>
  </si>
  <si>
    <t>ROA
Weighted</t>
  </si>
  <si>
    <t>CAR
Weighted</t>
  </si>
  <si>
    <t>ROE
Weighted</t>
  </si>
  <si>
    <t>Composite
Score</t>
  </si>
  <si>
    <t>Overall
Rank</t>
  </si>
  <si>
    <t>Weighted columns (green) pull normalized metric values live from '2. Fundamental Ranking'. Composite (Horizontal Addition) and Overall Rank recalculate automatically when the yellow weights above are changed.</t>
  </si>
  <si>
    <t>PMS Portfolio Allocation</t>
  </si>
  <si>
    <t>Share holdings (blue) are user-selected inputs, priced at market rates. Overall Rank (green) is linked live from '3. Weighted Normalize Model' and updates automatically if the weights or underlying data change.</t>
  </si>
  <si>
    <t>Total Investable Budget (₹)</t>
  </si>
  <si>
    <t>N (number of holdings)</t>
  </si>
  <si>
    <t>Price (₹)</t>
  </si>
  <si>
    <t>No. of Shares</t>
  </si>
  <si>
    <t>Asset Allocation (₹)</t>
  </si>
  <si>
    <t>% of
Portfolio</t>
  </si>
  <si>
    <t>Actual
Allocation (₹)</t>
  </si>
  <si>
    <t>Price and No. of Shares (blue) are user-supplied inputs. Overall Rank (green) is linked live from '3. Weighted Normalize Model' — it will change automatically now that the model's rank-direction error is fixed, so you may want to revisit share allocations to match the corrected ranking.</t>
  </si>
  <si>
    <t>Vishv Jeet Singh Thakur — MBA Finance, UPES Dehradun</t>
  </si>
  <si>
    <t>NBFC–General Sector — PMS Structuring: Equity Research &amp; Portfolio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</si>
</sst>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;&quot;(₹&quot;#,##0\);\-"/>
    <numFmt numFmtId="165" formatCode="0.0\x"/>
    <numFmt numFmtId="166" formatCode="\₹#,##0.00;&quot;(₹&quot;#,##0.00\);\-"/>
    <numFmt numFmtId="167" formatCode="0.0%"/>
    <numFmt numFmtId="168" formatCode="0.00\x"/>
    <numFmt numFmtId="169" formatCode="0.0000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family val="2"/>
      <charset val="1"/>
    </font>
    <font>
      <sz val="10"/>
      <name val="Arial"/>
      <charset val="1"/>
    </font>
    <font>
      <b/>
      <sz val="12"/>
      <color rgb="FF1F3864"/>
      <name val="Arial"/>
      <charset val="1"/>
    </font>
    <font>
      <b/>
      <sz val="10"/>
      <color rgb="FF1F3864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0"/>
      <color rgb="FF007A33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7A3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00"/>
        <bgColor rgb="FFFFFF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7" fillId="0" borderId="0" xfId="0" applyFont="1"/>
    <xf numFmtId="0" fontId="5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5" fillId="3" borderId="1" xfId="0" applyNumberFormat="1" applyFont="1" applyFill="1" applyBorder="1" applyAlignment="1">
      <alignment horizontal="center" vertical="center"/>
    </xf>
    <xf numFmtId="168" fontId="5" fillId="3" borderId="1" xfId="0" applyNumberFormat="1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165" fontId="3" fillId="0" borderId="1" xfId="0" applyNumberFormat="1" applyFont="1" applyBorder="1"/>
    <xf numFmtId="0" fontId="5" fillId="0" borderId="1" xfId="0" applyFont="1" applyBorder="1"/>
    <xf numFmtId="167" fontId="1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67" fontId="3" fillId="0" borderId="1" xfId="0" applyNumberFormat="1" applyFont="1" applyBorder="1"/>
    <xf numFmtId="1" fontId="5" fillId="0" borderId="1" xfId="0" applyNumberFormat="1" applyFont="1" applyBorder="1" applyAlignment="1">
      <alignment horizontal="left" vertical="center"/>
    </xf>
    <xf numFmtId="169" fontId="14" fillId="0" borderId="1" xfId="0" applyNumberFormat="1" applyFont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left" vertical="center"/>
    </xf>
    <xf numFmtId="169" fontId="14" fillId="3" borderId="1" xfId="0" applyNumberFormat="1" applyFont="1" applyFill="1" applyBorder="1" applyAlignment="1">
      <alignment horizontal="center" vertical="center"/>
    </xf>
    <xf numFmtId="169" fontId="3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/>
    <xf numFmtId="0" fontId="13" fillId="4" borderId="1" xfId="0" applyFont="1" applyFill="1" applyBorder="1"/>
    <xf numFmtId="164" fontId="13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/>
    <xf numFmtId="10" fontId="3" fillId="0" borderId="1" xfId="0" applyNumberFormat="1" applyFont="1" applyBorder="1"/>
    <xf numFmtId="3" fontId="13" fillId="0" borderId="1" xfId="0" applyNumberFormat="1" applyFont="1" applyBorder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 inden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11" fillId="2" borderId="0" xfId="0" applyFont="1" applyFill="1" applyAlignment="1">
      <alignment horizontal="left" vertical="center" indent="1"/>
    </xf>
    <xf numFmtId="0" fontId="0" fillId="0" borderId="2" xfId="0" applyBorder="1"/>
    <xf numFmtId="0" fontId="2" fillId="0" borderId="0" xfId="0" applyFont="1" applyAlignment="1">
      <alignment wrapText="1"/>
    </xf>
    <xf numFmtId="0" fontId="7" fillId="0" borderId="0" xfId="0" applyFont="1"/>
    <xf numFmtId="0" fontId="3" fillId="0" borderId="2" xfId="0" applyFont="1" applyBorder="1" applyAlignment="1">
      <alignment horizontal="right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5"/>
  <sheetViews>
    <sheetView showGridLines="0" tabSelected="1" zoomScaleNormal="100" workbookViewId="0">
      <selection activeCell="F15" sqref="F15"/>
    </sheetView>
  </sheetViews>
  <sheetFormatPr defaultColWidth="8.6640625" defaultRowHeight="14.4" x14ac:dyDescent="0.3"/>
  <cols>
    <col min="1" max="1" width="3" customWidth="1"/>
    <col min="2" max="2" width="38.88671875" customWidth="1"/>
    <col min="3" max="3" width="50.33203125" bestFit="1" customWidth="1"/>
    <col min="7" max="7" width="3" customWidth="1"/>
  </cols>
  <sheetData>
    <row r="2" spans="2:6" ht="17.399999999999999" x14ac:dyDescent="0.3">
      <c r="B2" s="50" t="s">
        <v>120</v>
      </c>
      <c r="C2" s="50"/>
      <c r="D2" s="50"/>
      <c r="E2" s="50"/>
      <c r="F2" s="50"/>
    </row>
    <row r="3" spans="2:6" ht="28.2" customHeight="1" x14ac:dyDescent="0.3">
      <c r="B3" s="51" t="s">
        <v>0</v>
      </c>
      <c r="C3" s="51"/>
      <c r="D3" s="51"/>
      <c r="E3" s="51"/>
      <c r="F3" s="51"/>
    </row>
    <row r="5" spans="2:6" ht="15" customHeight="1" x14ac:dyDescent="0.3">
      <c r="B5" s="3" t="s">
        <v>1</v>
      </c>
      <c r="C5" s="4" t="s">
        <v>119</v>
      </c>
    </row>
    <row r="6" spans="2:6" ht="15" customHeight="1" x14ac:dyDescent="0.3">
      <c r="B6" s="3" t="s">
        <v>2</v>
      </c>
      <c r="C6" s="2" t="s">
        <v>3</v>
      </c>
    </row>
    <row r="7" spans="2:6" ht="15" customHeight="1" x14ac:dyDescent="0.3">
      <c r="B7" s="3" t="s">
        <v>4</v>
      </c>
      <c r="C7" s="2" t="s">
        <v>5</v>
      </c>
    </row>
    <row r="9" spans="2:6" ht="15" customHeight="1" x14ac:dyDescent="0.3">
      <c r="B9" s="5" t="s">
        <v>6</v>
      </c>
    </row>
    <row r="10" spans="2:6" ht="23.25" customHeight="1" x14ac:dyDescent="0.3">
      <c r="B10" s="1" t="s">
        <v>7</v>
      </c>
      <c r="C10" s="52" t="s">
        <v>8</v>
      </c>
      <c r="D10" s="52"/>
      <c r="E10" s="52"/>
      <c r="F10" s="52"/>
    </row>
    <row r="11" spans="2:6" ht="15" customHeight="1" x14ac:dyDescent="0.3">
      <c r="B11" s="1" t="s">
        <v>9</v>
      </c>
      <c r="C11" s="53" t="s">
        <v>10</v>
      </c>
      <c r="D11" s="53"/>
      <c r="E11" s="53"/>
      <c r="F11" s="53"/>
    </row>
    <row r="12" spans="2:6" ht="15" customHeight="1" x14ac:dyDescent="0.3">
      <c r="B12" s="1" t="s">
        <v>11</v>
      </c>
      <c r="C12" s="52" t="s">
        <v>12</v>
      </c>
      <c r="D12" s="52"/>
      <c r="E12" s="52"/>
      <c r="F12" s="52"/>
    </row>
    <row r="13" spans="2:6" ht="15" customHeight="1" x14ac:dyDescent="0.3">
      <c r="B13" s="1" t="s">
        <v>13</v>
      </c>
      <c r="C13" s="52" t="s">
        <v>14</v>
      </c>
      <c r="D13" s="52"/>
      <c r="E13" s="52"/>
      <c r="F13" s="52"/>
    </row>
    <row r="15" spans="2:6" ht="15" customHeight="1" x14ac:dyDescent="0.3">
      <c r="B15" s="5" t="s">
        <v>15</v>
      </c>
    </row>
    <row r="16" spans="2:6" ht="15" customHeight="1" x14ac:dyDescent="0.3">
      <c r="B16" s="6" t="s">
        <v>16</v>
      </c>
      <c r="C16" s="53" t="s">
        <v>17</v>
      </c>
      <c r="D16" s="53"/>
      <c r="E16" s="53"/>
      <c r="F16" s="53"/>
    </row>
    <row r="17" spans="2:6" ht="15" customHeight="1" x14ac:dyDescent="0.3">
      <c r="B17" s="7" t="s">
        <v>18</v>
      </c>
      <c r="C17" s="53" t="s">
        <v>19</v>
      </c>
      <c r="D17" s="53"/>
      <c r="E17" s="53"/>
      <c r="F17" s="53"/>
    </row>
    <row r="18" spans="2:6" ht="15" customHeight="1" x14ac:dyDescent="0.3">
      <c r="B18" s="8" t="s">
        <v>20</v>
      </c>
      <c r="C18" s="53" t="s">
        <v>21</v>
      </c>
      <c r="D18" s="53"/>
      <c r="E18" s="53"/>
      <c r="F18" s="53"/>
    </row>
    <row r="20" spans="2:6" ht="15" customHeight="1" x14ac:dyDescent="0.3">
      <c r="B20" s="5" t="s">
        <v>22</v>
      </c>
    </row>
    <row r="21" spans="2:6" ht="27.75" customHeight="1" x14ac:dyDescent="0.3">
      <c r="B21" s="54" t="s">
        <v>23</v>
      </c>
      <c r="C21" s="54"/>
      <c r="D21" s="54"/>
      <c r="E21" s="54"/>
      <c r="F21" s="54"/>
    </row>
    <row r="22" spans="2:6" ht="27.75" customHeight="1" x14ac:dyDescent="0.3">
      <c r="B22" s="54" t="s">
        <v>24</v>
      </c>
      <c r="C22" s="54"/>
      <c r="D22" s="54"/>
      <c r="E22" s="54"/>
      <c r="F22" s="54"/>
    </row>
    <row r="23" spans="2:6" ht="27.75" customHeight="1" x14ac:dyDescent="0.3">
      <c r="B23" s="54" t="s">
        <v>25</v>
      </c>
      <c r="C23" s="54"/>
      <c r="D23" s="54"/>
      <c r="E23" s="54"/>
      <c r="F23" s="54"/>
    </row>
    <row r="24" spans="2:6" ht="27.75" customHeight="1" x14ac:dyDescent="0.3">
      <c r="B24" s="54" t="s">
        <v>26</v>
      </c>
      <c r="C24" s="54"/>
      <c r="D24" s="54"/>
      <c r="E24" s="54"/>
      <c r="F24" s="54"/>
    </row>
    <row r="25" spans="2:6" ht="27.75" customHeight="1" x14ac:dyDescent="0.3">
      <c r="B25" s="54" t="s">
        <v>27</v>
      </c>
      <c r="C25" s="54"/>
      <c r="D25" s="54"/>
      <c r="E25" s="54"/>
      <c r="F25" s="54"/>
    </row>
  </sheetData>
  <mergeCells count="14">
    <mergeCell ref="B22:F22"/>
    <mergeCell ref="B23:F23"/>
    <mergeCell ref="B24:F24"/>
    <mergeCell ref="B25:F25"/>
    <mergeCell ref="C13:F13"/>
    <mergeCell ref="C16:F16"/>
    <mergeCell ref="C17:F17"/>
    <mergeCell ref="C18:F18"/>
    <mergeCell ref="B21:F21"/>
    <mergeCell ref="B2:F2"/>
    <mergeCell ref="B3:F3"/>
    <mergeCell ref="C10:F10"/>
    <mergeCell ref="C11:F11"/>
    <mergeCell ref="C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W21"/>
  <sheetViews>
    <sheetView showGridLines="0" zoomScaleNormal="100" workbookViewId="0">
      <pane ySplit="3" topLeftCell="A4" activePane="bottomLeft" state="frozen"/>
      <selection pane="bottomLeft" activeCell="B28" sqref="B28"/>
    </sheetView>
  </sheetViews>
  <sheetFormatPr defaultColWidth="8.6640625" defaultRowHeight="14.4" x14ac:dyDescent="0.3"/>
  <cols>
    <col min="1" max="1" width="42.88671875" bestFit="1" customWidth="1"/>
    <col min="2" max="2" width="13.77734375" bestFit="1" customWidth="1"/>
    <col min="3" max="3" width="13" customWidth="1"/>
    <col min="4" max="4" width="16" bestFit="1" customWidth="1"/>
    <col min="6" max="6" width="13" customWidth="1"/>
    <col min="7" max="7" width="14" customWidth="1"/>
    <col min="8" max="8" width="15" customWidth="1"/>
    <col min="9" max="9" width="13" customWidth="1"/>
    <col min="10" max="10" width="14" customWidth="1"/>
    <col min="11" max="11" width="12" customWidth="1"/>
    <col min="12" max="12" width="11" customWidth="1"/>
    <col min="13" max="13" width="12" customWidth="1"/>
    <col min="14" max="14" width="11" customWidth="1"/>
    <col min="15" max="15" width="12" customWidth="1"/>
    <col min="17" max="17" width="11" customWidth="1"/>
    <col min="18" max="18" width="13" customWidth="1"/>
    <col min="19" max="19" width="9" customWidth="1"/>
    <col min="22" max="22" width="10" customWidth="1"/>
    <col min="23" max="23" width="9" customWidth="1"/>
  </cols>
  <sheetData>
    <row r="1" spans="1:23" ht="21.75" customHeight="1" x14ac:dyDescent="0.3">
      <c r="A1" s="55" t="s">
        <v>28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25.5" customHeight="1" x14ac:dyDescent="0.3">
      <c r="A2" s="51" t="s">
        <v>29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3" ht="31.5" customHeight="1" x14ac:dyDescent="0.3">
      <c r="A3" s="9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9" t="s">
        <v>42</v>
      </c>
      <c r="N3" s="9" t="s">
        <v>43</v>
      </c>
      <c r="O3" s="9" t="s">
        <v>44</v>
      </c>
      <c r="P3" s="9" t="s">
        <v>45</v>
      </c>
      <c r="Q3" s="9" t="s">
        <v>46</v>
      </c>
      <c r="R3" s="9" t="s">
        <v>47</v>
      </c>
      <c r="S3" s="9" t="s">
        <v>48</v>
      </c>
      <c r="T3" s="9" t="s">
        <v>49</v>
      </c>
      <c r="U3" s="9" t="s">
        <v>50</v>
      </c>
      <c r="V3" s="9" t="s">
        <v>51</v>
      </c>
      <c r="W3" s="9" t="s">
        <v>52</v>
      </c>
    </row>
    <row r="4" spans="1:23" ht="15" customHeight="1" x14ac:dyDescent="0.3">
      <c r="A4" s="10" t="s">
        <v>53</v>
      </c>
      <c r="B4" s="11" t="s">
        <v>54</v>
      </c>
      <c r="C4" s="12">
        <v>11813</v>
      </c>
      <c r="D4" s="12">
        <v>1507</v>
      </c>
      <c r="E4" s="13">
        <v>18.2</v>
      </c>
      <c r="F4" s="11" t="str">
        <f t="shared" ref="F4:F18" si="0">IF(E4&lt;$E$19,"Under Value","Over Value")</f>
        <v>Under Value</v>
      </c>
      <c r="G4" s="14">
        <v>2354.5100000000002</v>
      </c>
      <c r="H4" s="14">
        <v>2683.46</v>
      </c>
      <c r="I4" s="14">
        <v>574.11</v>
      </c>
      <c r="J4" s="14">
        <v>654.88</v>
      </c>
      <c r="K4" s="11" t="str">
        <f t="shared" ref="K4:K18" si="1">IF(H4&gt;G4,"Yes","No")</f>
        <v>Yes</v>
      </c>
      <c r="L4" s="11" t="str">
        <f t="shared" ref="L4:L18" si="2">IF(J4&gt;I4,"Yes","No")</f>
        <v>Yes</v>
      </c>
      <c r="M4" s="11" t="str">
        <f t="shared" ref="M4:M18" si="3">IF(AND(K4="No",L4="No"),"Ignore","Consider")</f>
        <v>Consider</v>
      </c>
      <c r="N4" s="14">
        <v>72.53</v>
      </c>
      <c r="O4" s="14">
        <v>82.6</v>
      </c>
      <c r="P4" s="15">
        <f t="shared" ref="P4:P18" si="4">(O4-N4)/N4</f>
        <v>0.13883910106162958</v>
      </c>
      <c r="Q4" s="16">
        <f t="shared" ref="Q4:Q18" si="5">IF(OR(N4&lt;=0,P4&lt;=0),"N/A",E4/(P4*100))</f>
        <v>1.3108699106256214</v>
      </c>
      <c r="R4" s="11" t="str">
        <f t="shared" ref="R4:R18" si="6">IF(F4="Over Value",IF(ISNUMBER(Q4),IF(AND(Q4&gt;0,Q4&lt;1.5),"Consider","Reject"),"Reject"),"")</f>
        <v/>
      </c>
      <c r="S4" s="17">
        <v>1.0500000000000001E-2</v>
      </c>
      <c r="T4" s="17">
        <v>7.9299999999999995E-2</v>
      </c>
      <c r="U4" s="17">
        <v>3.2899999999999999E-2</v>
      </c>
      <c r="V4" s="17">
        <v>0.44600000000000001</v>
      </c>
      <c r="W4" s="17">
        <v>0.13930000000000001</v>
      </c>
    </row>
    <row r="5" spans="1:23" ht="15" customHeight="1" x14ac:dyDescent="0.3">
      <c r="A5" s="18" t="s">
        <v>55</v>
      </c>
      <c r="B5" s="19" t="s">
        <v>56</v>
      </c>
      <c r="C5" s="20">
        <v>12456</v>
      </c>
      <c r="D5" s="20">
        <v>1187</v>
      </c>
      <c r="E5" s="21">
        <v>23</v>
      </c>
      <c r="F5" s="19" t="str">
        <f t="shared" si="0"/>
        <v>Under Value</v>
      </c>
      <c r="G5" s="22">
        <v>1539.08</v>
      </c>
      <c r="H5" s="22">
        <v>1921.01</v>
      </c>
      <c r="I5" s="22">
        <v>382.07</v>
      </c>
      <c r="J5" s="22">
        <v>540.38</v>
      </c>
      <c r="K5" s="19" t="str">
        <f t="shared" si="1"/>
        <v>Yes</v>
      </c>
      <c r="L5" s="19" t="str">
        <f t="shared" si="2"/>
        <v>Yes</v>
      </c>
      <c r="M5" s="19" t="str">
        <f t="shared" si="3"/>
        <v>Consider</v>
      </c>
      <c r="N5" s="22">
        <v>42.43</v>
      </c>
      <c r="O5" s="22">
        <v>51.8</v>
      </c>
      <c r="P5" s="23">
        <f t="shared" si="4"/>
        <v>0.2208343153429177</v>
      </c>
      <c r="Q5" s="24">
        <f t="shared" si="5"/>
        <v>1.0415048025613662</v>
      </c>
      <c r="R5" s="19" t="str">
        <f t="shared" si="6"/>
        <v/>
      </c>
      <c r="S5" s="25">
        <v>1.7999999999999999E-2</v>
      </c>
      <c r="T5" s="25">
        <v>5.7000000000000002E-2</v>
      </c>
      <c r="U5" s="25">
        <v>3.9E-2</v>
      </c>
      <c r="V5" s="25">
        <v>0.441</v>
      </c>
      <c r="W5" s="25">
        <v>0.124038516716209</v>
      </c>
    </row>
    <row r="6" spans="1:23" ht="15" customHeight="1" x14ac:dyDescent="0.3">
      <c r="A6" s="10" t="s">
        <v>57</v>
      </c>
      <c r="B6" s="11" t="s">
        <v>58</v>
      </c>
      <c r="C6" s="12">
        <v>14670</v>
      </c>
      <c r="D6" s="12">
        <v>558</v>
      </c>
      <c r="E6" s="13">
        <v>15</v>
      </c>
      <c r="F6" s="11" t="str">
        <f t="shared" si="0"/>
        <v>Under Value</v>
      </c>
      <c r="G6" s="14">
        <v>2847.84</v>
      </c>
      <c r="H6" s="14">
        <v>3218.12</v>
      </c>
      <c r="I6" s="14">
        <v>1072.49</v>
      </c>
      <c r="J6" s="14">
        <v>1098.75</v>
      </c>
      <c r="K6" s="11" t="str">
        <f t="shared" si="1"/>
        <v>Yes</v>
      </c>
      <c r="L6" s="11" t="str">
        <f t="shared" si="2"/>
        <v>Yes</v>
      </c>
      <c r="M6" s="11" t="str">
        <f t="shared" si="3"/>
        <v>Consider</v>
      </c>
      <c r="N6" s="14">
        <v>36.43</v>
      </c>
      <c r="O6" s="14">
        <v>37.22</v>
      </c>
      <c r="P6" s="15">
        <f t="shared" si="4"/>
        <v>2.1685424101015625E-2</v>
      </c>
      <c r="Q6" s="16">
        <f t="shared" si="5"/>
        <v>6.9170886075949438</v>
      </c>
      <c r="R6" s="11" t="str">
        <f t="shared" si="6"/>
        <v/>
      </c>
      <c r="S6" s="17">
        <v>3.3700000000000001E-2</v>
      </c>
      <c r="T6" s="17">
        <v>0.1986</v>
      </c>
      <c r="U6" s="17">
        <v>8.6800000000000002E-2</v>
      </c>
      <c r="V6" s="17">
        <v>0.51890000000000003</v>
      </c>
      <c r="W6" s="17">
        <v>0.16059999999999999</v>
      </c>
    </row>
    <row r="7" spans="1:23" ht="15" customHeight="1" x14ac:dyDescent="0.3">
      <c r="A7" s="18" t="s">
        <v>59</v>
      </c>
      <c r="B7" s="19" t="s">
        <v>60</v>
      </c>
      <c r="C7" s="20">
        <v>21679</v>
      </c>
      <c r="D7" s="20">
        <v>525</v>
      </c>
      <c r="E7" s="21">
        <v>13.4</v>
      </c>
      <c r="F7" s="19" t="str">
        <f t="shared" si="0"/>
        <v>Under Value</v>
      </c>
      <c r="G7" s="22">
        <v>10233.35</v>
      </c>
      <c r="H7" s="22">
        <v>13366.4</v>
      </c>
      <c r="I7" s="22">
        <v>378.77</v>
      </c>
      <c r="J7" s="22">
        <v>1660.8</v>
      </c>
      <c r="K7" s="19" t="str">
        <f t="shared" si="1"/>
        <v>Yes</v>
      </c>
      <c r="L7" s="19" t="str">
        <f t="shared" si="2"/>
        <v>Yes</v>
      </c>
      <c r="M7" s="19" t="str">
        <f t="shared" si="3"/>
        <v>Consider</v>
      </c>
      <c r="N7" s="22">
        <v>8.92</v>
      </c>
      <c r="O7" s="22">
        <v>39.049999999999997</v>
      </c>
      <c r="P7" s="23">
        <f t="shared" si="4"/>
        <v>3.3778026905829592</v>
      </c>
      <c r="Q7" s="24">
        <f t="shared" si="5"/>
        <v>3.9670760039827418E-2</v>
      </c>
      <c r="R7" s="19" t="str">
        <f t="shared" si="6"/>
        <v/>
      </c>
      <c r="S7" s="25">
        <v>1.4999999999999999E-2</v>
      </c>
      <c r="T7" s="25">
        <v>6.0999999999999999E-2</v>
      </c>
      <c r="U7" s="25">
        <v>2.4E-2</v>
      </c>
      <c r="V7" s="25">
        <v>0.253</v>
      </c>
      <c r="W7" s="25">
        <v>0.13100000000000001</v>
      </c>
    </row>
    <row r="8" spans="1:23" ht="15" customHeight="1" x14ac:dyDescent="0.3">
      <c r="A8" s="10" t="s">
        <v>61</v>
      </c>
      <c r="B8" s="11" t="s">
        <v>62</v>
      </c>
      <c r="C8" s="12">
        <v>30245</v>
      </c>
      <c r="D8" s="12">
        <v>538</v>
      </c>
      <c r="E8" s="13">
        <v>5.37</v>
      </c>
      <c r="F8" s="11" t="str">
        <f t="shared" si="0"/>
        <v>Under Value</v>
      </c>
      <c r="G8" s="14">
        <v>28110.6</v>
      </c>
      <c r="H8" s="14">
        <v>28837.11</v>
      </c>
      <c r="I8" s="14">
        <v>5442.23</v>
      </c>
      <c r="J8" s="14">
        <v>5603.67</v>
      </c>
      <c r="K8" s="11" t="str">
        <f t="shared" si="1"/>
        <v>Yes</v>
      </c>
      <c r="L8" s="11" t="str">
        <f t="shared" si="2"/>
        <v>Yes</v>
      </c>
      <c r="M8" s="11" t="str">
        <f t="shared" si="3"/>
        <v>Consider</v>
      </c>
      <c r="N8" s="14">
        <v>98.94</v>
      </c>
      <c r="O8" s="14">
        <v>101.87</v>
      </c>
      <c r="P8" s="15">
        <f t="shared" si="4"/>
        <v>2.9613907418637626E-2</v>
      </c>
      <c r="Q8" s="16">
        <f t="shared" si="5"/>
        <v>1.8133372013651836</v>
      </c>
      <c r="R8" s="11" t="str">
        <f t="shared" si="6"/>
        <v/>
      </c>
      <c r="S8" s="17">
        <v>1.21E-2</v>
      </c>
      <c r="T8" s="17">
        <v>2.6800000000000001E-2</v>
      </c>
      <c r="U8" s="17">
        <v>1.78E-2</v>
      </c>
      <c r="V8" s="17">
        <v>0.2422</v>
      </c>
      <c r="W8" s="17">
        <v>0.14000000000000001</v>
      </c>
    </row>
    <row r="9" spans="1:23" ht="15" customHeight="1" x14ac:dyDescent="0.3">
      <c r="A9" s="18" t="s">
        <v>63</v>
      </c>
      <c r="B9" s="19" t="s">
        <v>64</v>
      </c>
      <c r="C9" s="20">
        <v>45668</v>
      </c>
      <c r="D9" s="20">
        <v>332</v>
      </c>
      <c r="E9" s="21">
        <v>15.6</v>
      </c>
      <c r="F9" s="19" t="str">
        <f t="shared" si="0"/>
        <v>Under Value</v>
      </c>
      <c r="G9" s="22">
        <v>18518.849999999999</v>
      </c>
      <c r="H9" s="22">
        <v>21040.54</v>
      </c>
      <c r="I9" s="22">
        <v>2261.87</v>
      </c>
      <c r="J9" s="22">
        <v>2854.53</v>
      </c>
      <c r="K9" s="19" t="str">
        <f t="shared" si="1"/>
        <v>Yes</v>
      </c>
      <c r="L9" s="19" t="str">
        <f t="shared" si="2"/>
        <v>Yes</v>
      </c>
      <c r="M9" s="19" t="str">
        <f t="shared" si="3"/>
        <v>Consider</v>
      </c>
      <c r="N9" s="22">
        <v>16.272446043165498</v>
      </c>
      <c r="O9" s="22">
        <v>20.5361870503597</v>
      </c>
      <c r="P9" s="23">
        <f t="shared" si="4"/>
        <v>0.26202213212960646</v>
      </c>
      <c r="Q9" s="24">
        <f t="shared" si="5"/>
        <v>0.59536955421321525</v>
      </c>
      <c r="R9" s="19" t="str">
        <f t="shared" si="6"/>
        <v/>
      </c>
      <c r="S9" s="25">
        <v>3.4000000000000002E-2</v>
      </c>
      <c r="T9" s="25">
        <v>7.0999999999999994E-2</v>
      </c>
      <c r="U9" s="25">
        <v>0.02</v>
      </c>
      <c r="V9" s="25">
        <v>0.188</v>
      </c>
      <c r="W9" s="25">
        <v>0.125</v>
      </c>
    </row>
    <row r="10" spans="1:23" ht="15" customHeight="1" x14ac:dyDescent="0.3">
      <c r="A10" s="10" t="s">
        <v>65</v>
      </c>
      <c r="B10" s="11" t="s">
        <v>66</v>
      </c>
      <c r="C10" s="12">
        <v>51409</v>
      </c>
      <c r="D10" s="12">
        <v>4554</v>
      </c>
      <c r="E10" s="13">
        <v>24</v>
      </c>
      <c r="F10" s="11" t="str">
        <f t="shared" si="0"/>
        <v>Under Value</v>
      </c>
      <c r="G10" s="14">
        <v>8512.82</v>
      </c>
      <c r="H10" s="14">
        <v>9851.5300000000007</v>
      </c>
      <c r="I10" s="14">
        <v>1879.44</v>
      </c>
      <c r="J10" s="14">
        <v>2058.86</v>
      </c>
      <c r="K10" s="11" t="str">
        <f t="shared" si="1"/>
        <v>Yes</v>
      </c>
      <c r="L10" s="11" t="str">
        <f t="shared" si="2"/>
        <v>Yes</v>
      </c>
      <c r="M10" s="11" t="str">
        <f t="shared" si="3"/>
        <v>Consider</v>
      </c>
      <c r="N10" s="14">
        <v>169.17</v>
      </c>
      <c r="O10" s="14">
        <v>185.32</v>
      </c>
      <c r="P10" s="15">
        <f t="shared" si="4"/>
        <v>9.5466099190163786E-2</v>
      </c>
      <c r="Q10" s="16">
        <f t="shared" si="5"/>
        <v>2.5139814241486058</v>
      </c>
      <c r="R10" s="11" t="str">
        <f t="shared" si="6"/>
        <v/>
      </c>
      <c r="S10" s="17">
        <v>2.1399999999999999E-2</v>
      </c>
      <c r="T10" s="17">
        <v>5.3699999999999998E-2</v>
      </c>
      <c r="U10" s="17">
        <v>3.0300000000000001E-2</v>
      </c>
      <c r="V10" s="17">
        <v>0.1895</v>
      </c>
      <c r="W10" s="17">
        <v>0.17499999999999999</v>
      </c>
    </row>
    <row r="11" spans="1:23" ht="15" customHeight="1" x14ac:dyDescent="0.3">
      <c r="A11" s="18" t="s">
        <v>67</v>
      </c>
      <c r="B11" s="19" t="s">
        <v>68</v>
      </c>
      <c r="C11" s="20">
        <v>121468</v>
      </c>
      <c r="D11" s="20">
        <v>3123</v>
      </c>
      <c r="E11" s="21">
        <v>11.9</v>
      </c>
      <c r="F11" s="19" t="str">
        <f t="shared" si="0"/>
        <v>Under Value</v>
      </c>
      <c r="G11" s="22">
        <v>20214.169999999998</v>
      </c>
      <c r="H11" s="22">
        <v>31209.23</v>
      </c>
      <c r="I11" s="22">
        <v>5332.9</v>
      </c>
      <c r="J11" s="22">
        <v>10590.34</v>
      </c>
      <c r="K11" s="19" t="str">
        <f t="shared" si="1"/>
        <v>Yes</v>
      </c>
      <c r="L11" s="19" t="str">
        <f t="shared" si="2"/>
        <v>Yes</v>
      </c>
      <c r="M11" s="19" t="str">
        <f t="shared" si="3"/>
        <v>Consider</v>
      </c>
      <c r="N11" s="22">
        <v>132.84</v>
      </c>
      <c r="O11" s="22">
        <v>263.79000000000002</v>
      </c>
      <c r="P11" s="23">
        <f t="shared" si="4"/>
        <v>0.9857723577235773</v>
      </c>
      <c r="Q11" s="24">
        <f t="shared" si="5"/>
        <v>0.12071752577319587</v>
      </c>
      <c r="R11" s="19" t="str">
        <f t="shared" si="6"/>
        <v/>
      </c>
      <c r="S11" s="25">
        <v>2.35E-2</v>
      </c>
      <c r="T11" s="25">
        <v>6.2199999999999998E-2</v>
      </c>
      <c r="U11" s="25">
        <v>1.6400000000000001E-2</v>
      </c>
      <c r="V11" s="25">
        <v>0.31</v>
      </c>
      <c r="W11" s="25">
        <v>7.2599999999999998E-2</v>
      </c>
    </row>
    <row r="12" spans="1:23" ht="15" customHeight="1" x14ac:dyDescent="0.3">
      <c r="A12" s="10" t="s">
        <v>69</v>
      </c>
      <c r="B12" s="11" t="s">
        <v>70</v>
      </c>
      <c r="C12" s="12">
        <v>242774</v>
      </c>
      <c r="D12" s="12">
        <v>1069</v>
      </c>
      <c r="E12" s="13">
        <v>25.1</v>
      </c>
      <c r="F12" s="11" t="str">
        <f t="shared" si="0"/>
        <v>Under Value</v>
      </c>
      <c r="G12" s="14">
        <v>43940.61</v>
      </c>
      <c r="H12" s="14">
        <v>48134.57</v>
      </c>
      <c r="I12" s="14">
        <v>9553.82</v>
      </c>
      <c r="J12" s="14">
        <v>10024.16</v>
      </c>
      <c r="K12" s="11" t="str">
        <f t="shared" si="1"/>
        <v>Yes</v>
      </c>
      <c r="L12" s="11" t="str">
        <f t="shared" si="2"/>
        <v>Yes</v>
      </c>
      <c r="M12" s="11" t="str">
        <f t="shared" si="3"/>
        <v>Consider</v>
      </c>
      <c r="N12" s="14">
        <v>50.81</v>
      </c>
      <c r="O12" s="14">
        <v>53.28</v>
      </c>
      <c r="P12" s="15">
        <f t="shared" si="4"/>
        <v>4.8612477858689211E-2</v>
      </c>
      <c r="Q12" s="16">
        <f t="shared" si="5"/>
        <v>5.1632834008097195</v>
      </c>
      <c r="R12" s="11" t="str">
        <f t="shared" si="6"/>
        <v/>
      </c>
      <c r="S12" s="17">
        <v>4.58E-2</v>
      </c>
      <c r="T12" s="17">
        <v>8.3799999999999999E-2</v>
      </c>
      <c r="U12" s="17">
        <v>3.1E-2</v>
      </c>
      <c r="V12" s="17">
        <v>0.20399999999999999</v>
      </c>
      <c r="W12" s="17">
        <v>0.1653</v>
      </c>
    </row>
    <row r="13" spans="1:23" ht="15" customHeight="1" x14ac:dyDescent="0.3">
      <c r="A13" s="18" t="s">
        <v>71</v>
      </c>
      <c r="B13" s="19" t="s">
        <v>72</v>
      </c>
      <c r="C13" s="20">
        <v>29918</v>
      </c>
      <c r="D13" s="20">
        <v>342</v>
      </c>
      <c r="E13" s="21">
        <v>32</v>
      </c>
      <c r="F13" s="19" t="str">
        <f t="shared" si="0"/>
        <v>Over Value</v>
      </c>
      <c r="G13" s="22">
        <v>10007</v>
      </c>
      <c r="H13" s="22">
        <v>9509.39</v>
      </c>
      <c r="I13" s="22">
        <v>1216.1500000000001</v>
      </c>
      <c r="J13" s="22">
        <v>1003.3</v>
      </c>
      <c r="K13" s="19" t="str">
        <f t="shared" si="1"/>
        <v>No</v>
      </c>
      <c r="L13" s="19" t="str">
        <f t="shared" si="2"/>
        <v>No</v>
      </c>
      <c r="M13" s="19" t="str">
        <f t="shared" si="3"/>
        <v>Ignore</v>
      </c>
      <c r="N13" s="22">
        <v>14.37</v>
      </c>
      <c r="O13" s="22">
        <v>10.68</v>
      </c>
      <c r="P13" s="23">
        <f t="shared" si="4"/>
        <v>-0.25678496868475992</v>
      </c>
      <c r="Q13" s="24" t="str">
        <f t="shared" si="5"/>
        <v>N/A</v>
      </c>
      <c r="R13" s="19" t="str">
        <f t="shared" si="6"/>
        <v>Reject</v>
      </c>
      <c r="S13" s="19"/>
      <c r="T13" s="19"/>
      <c r="U13" s="19"/>
      <c r="V13" s="19"/>
      <c r="W13" s="19"/>
    </row>
    <row r="14" spans="1:23" ht="15" customHeight="1" x14ac:dyDescent="0.3">
      <c r="A14" s="10" t="s">
        <v>73</v>
      </c>
      <c r="B14" s="11" t="s">
        <v>74</v>
      </c>
      <c r="C14" s="12">
        <v>38768</v>
      </c>
      <c r="D14" s="12">
        <v>464</v>
      </c>
      <c r="E14" s="13">
        <v>75.3</v>
      </c>
      <c r="F14" s="11" t="str">
        <f t="shared" si="0"/>
        <v>Over Value</v>
      </c>
      <c r="G14" s="14">
        <v>4189.76</v>
      </c>
      <c r="H14" s="14">
        <v>6790.18</v>
      </c>
      <c r="I14" s="14">
        <v>-98.34</v>
      </c>
      <c r="J14" s="14">
        <v>541.80999999999995</v>
      </c>
      <c r="K14" s="11" t="str">
        <f t="shared" si="1"/>
        <v>Yes</v>
      </c>
      <c r="L14" s="11" t="str">
        <f t="shared" si="2"/>
        <v>Yes</v>
      </c>
      <c r="M14" s="11" t="str">
        <f t="shared" si="3"/>
        <v>Consider</v>
      </c>
      <c r="N14" s="14">
        <v>-1.26</v>
      </c>
      <c r="O14" s="14">
        <v>6.67</v>
      </c>
      <c r="P14" s="15">
        <f t="shared" si="4"/>
        <v>-6.2936507936507935</v>
      </c>
      <c r="Q14" s="16" t="str">
        <f t="shared" si="5"/>
        <v>N/A</v>
      </c>
      <c r="R14" s="11" t="str">
        <f t="shared" si="6"/>
        <v>Reject</v>
      </c>
      <c r="S14" s="11"/>
      <c r="T14" s="11"/>
      <c r="U14" s="11"/>
      <c r="V14" s="11"/>
      <c r="W14" s="11"/>
    </row>
    <row r="15" spans="1:23" ht="15" customHeight="1" x14ac:dyDescent="0.3">
      <c r="A15" s="18" t="s">
        <v>75</v>
      </c>
      <c r="B15" s="19" t="s">
        <v>76</v>
      </c>
      <c r="C15" s="20">
        <v>74915</v>
      </c>
      <c r="D15" s="20">
        <v>328</v>
      </c>
      <c r="E15" s="21">
        <v>27.4</v>
      </c>
      <c r="F15" s="19" t="str">
        <f t="shared" si="0"/>
        <v>Over Value</v>
      </c>
      <c r="G15" s="22">
        <v>15924.24</v>
      </c>
      <c r="H15" s="22">
        <v>17913.669999999998</v>
      </c>
      <c r="I15" s="22">
        <v>2643.66</v>
      </c>
      <c r="J15" s="22">
        <v>2981.18</v>
      </c>
      <c r="K15" s="19" t="str">
        <f t="shared" si="1"/>
        <v>Yes</v>
      </c>
      <c r="L15" s="19" t="str">
        <f t="shared" si="2"/>
        <v>Yes</v>
      </c>
      <c r="M15" s="19" t="str">
        <f t="shared" si="3"/>
        <v>Consider</v>
      </c>
      <c r="N15" s="22">
        <v>10.6</v>
      </c>
      <c r="O15" s="22">
        <v>11.9</v>
      </c>
      <c r="P15" s="23">
        <f t="shared" si="4"/>
        <v>0.12264150943396233</v>
      </c>
      <c r="Q15" s="24">
        <f t="shared" si="5"/>
        <v>2.2341538461538448</v>
      </c>
      <c r="R15" s="19" t="str">
        <f t="shared" si="6"/>
        <v>Reject</v>
      </c>
      <c r="S15" s="19"/>
      <c r="T15" s="19"/>
      <c r="U15" s="19"/>
      <c r="V15" s="19"/>
      <c r="W15" s="19"/>
    </row>
    <row r="16" spans="1:23" ht="15" customHeight="1" x14ac:dyDescent="0.3">
      <c r="A16" s="10" t="s">
        <v>77</v>
      </c>
      <c r="B16" s="11" t="s">
        <v>78</v>
      </c>
      <c r="C16" s="12">
        <v>106853</v>
      </c>
      <c r="D16" s="12">
        <v>406</v>
      </c>
      <c r="E16" s="13">
        <v>29.2</v>
      </c>
      <c r="F16" s="11" t="str">
        <f t="shared" si="0"/>
        <v>Over Value</v>
      </c>
      <c r="G16" s="14">
        <v>40632.230000000003</v>
      </c>
      <c r="H16" s="14">
        <v>45508.98</v>
      </c>
      <c r="I16" s="14">
        <v>3332.32</v>
      </c>
      <c r="J16" s="14">
        <v>3764.49</v>
      </c>
      <c r="K16" s="11" t="str">
        <f t="shared" si="1"/>
        <v>Yes</v>
      </c>
      <c r="L16" s="11" t="str">
        <f t="shared" si="2"/>
        <v>Yes</v>
      </c>
      <c r="M16" s="11" t="str">
        <f t="shared" si="3"/>
        <v>Consider</v>
      </c>
      <c r="N16" s="14">
        <v>12.78</v>
      </c>
      <c r="O16" s="14">
        <v>14.37</v>
      </c>
      <c r="P16" s="15">
        <f t="shared" si="4"/>
        <v>0.12441314553990609</v>
      </c>
      <c r="Q16" s="16">
        <f t="shared" si="5"/>
        <v>2.3470188679245285</v>
      </c>
      <c r="R16" s="11" t="str">
        <f t="shared" si="6"/>
        <v>Reject</v>
      </c>
      <c r="S16" s="11"/>
      <c r="T16" s="11"/>
      <c r="U16" s="11"/>
      <c r="V16" s="11"/>
      <c r="W16" s="11"/>
    </row>
    <row r="17" spans="1:23" ht="15" customHeight="1" x14ac:dyDescent="0.3">
      <c r="A17" s="18" t="s">
        <v>79</v>
      </c>
      <c r="B17" s="19" t="s">
        <v>80</v>
      </c>
      <c r="C17" s="20">
        <v>153397</v>
      </c>
      <c r="D17" s="20">
        <v>1852</v>
      </c>
      <c r="E17" s="21">
        <v>30.1</v>
      </c>
      <c r="F17" s="19" t="str">
        <f t="shared" si="0"/>
        <v>Over Value</v>
      </c>
      <c r="G17" s="22">
        <v>25889.77</v>
      </c>
      <c r="H17" s="22">
        <v>31073.1</v>
      </c>
      <c r="I17" s="22">
        <v>4262.7</v>
      </c>
      <c r="J17" s="22">
        <v>5232.6099999999997</v>
      </c>
      <c r="K17" s="19" t="str">
        <f t="shared" si="1"/>
        <v>Yes</v>
      </c>
      <c r="L17" s="19" t="str">
        <f t="shared" si="2"/>
        <v>Yes</v>
      </c>
      <c r="M17" s="19" t="str">
        <f t="shared" si="3"/>
        <v>Consider</v>
      </c>
      <c r="N17" s="22">
        <v>50.69</v>
      </c>
      <c r="O17" s="22">
        <v>61.41</v>
      </c>
      <c r="P17" s="23">
        <f t="shared" si="4"/>
        <v>0.21148155454724796</v>
      </c>
      <c r="Q17" s="24">
        <f t="shared" si="5"/>
        <v>1.4232919776119404</v>
      </c>
      <c r="R17" s="19" t="str">
        <f t="shared" si="6"/>
        <v>Consider</v>
      </c>
      <c r="S17" s="25">
        <v>4.3999999999999997E-2</v>
      </c>
      <c r="T17" s="25">
        <v>0.08</v>
      </c>
      <c r="U17" s="25">
        <v>3.3000000000000002E-2</v>
      </c>
      <c r="V17" s="25">
        <v>0.19209999999999999</v>
      </c>
      <c r="W17" s="25">
        <v>0.19700000000000001</v>
      </c>
    </row>
    <row r="18" spans="1:23" ht="15" customHeight="1" x14ac:dyDescent="0.3">
      <c r="A18" s="10" t="s">
        <v>81</v>
      </c>
      <c r="B18" s="11" t="s">
        <v>82</v>
      </c>
      <c r="C18" s="12">
        <v>610393</v>
      </c>
      <c r="D18" s="12">
        <v>1037</v>
      </c>
      <c r="E18" s="13">
        <v>33.6</v>
      </c>
      <c r="F18" s="11" t="str">
        <f t="shared" si="0"/>
        <v>Over Value</v>
      </c>
      <c r="G18" s="14">
        <v>69709.440000000002</v>
      </c>
      <c r="H18" s="14">
        <v>81982.38</v>
      </c>
      <c r="I18" s="14">
        <v>16637.82</v>
      </c>
      <c r="J18" s="14">
        <v>19017.39</v>
      </c>
      <c r="K18" s="11" t="str">
        <f t="shared" si="1"/>
        <v>Yes</v>
      </c>
      <c r="L18" s="11" t="str">
        <f t="shared" si="2"/>
        <v>Yes</v>
      </c>
      <c r="M18" s="11" t="str">
        <f t="shared" si="3"/>
        <v>Consider</v>
      </c>
      <c r="N18" s="14">
        <v>26.77</v>
      </c>
      <c r="O18" s="14">
        <v>30.56</v>
      </c>
      <c r="P18" s="15">
        <f t="shared" si="4"/>
        <v>0.14157639148300333</v>
      </c>
      <c r="Q18" s="16">
        <f t="shared" si="5"/>
        <v>2.3732770448548819</v>
      </c>
      <c r="R18" s="11" t="str">
        <f t="shared" si="6"/>
        <v>Reject</v>
      </c>
      <c r="S18" s="11"/>
      <c r="T18" s="11"/>
      <c r="U18" s="11"/>
      <c r="V18" s="11"/>
      <c r="W18" s="11"/>
    </row>
    <row r="19" spans="1:23" ht="18" customHeight="1" x14ac:dyDescent="0.3">
      <c r="A19" s="56"/>
      <c r="B19" s="56"/>
      <c r="C19" s="56"/>
      <c r="D19" s="26" t="s">
        <v>83</v>
      </c>
      <c r="E19" s="27">
        <f>AVERAGE(E4:E18)</f>
        <v>25.278000000000002</v>
      </c>
    </row>
    <row r="21" spans="1:23" ht="25.5" customHeight="1" x14ac:dyDescent="0.3">
      <c r="A21" s="57" t="s">
        <v>84</v>
      </c>
      <c r="B21" s="57"/>
      <c r="C21" s="57"/>
      <c r="D21" s="57"/>
      <c r="E21" s="57"/>
      <c r="F21" s="57"/>
      <c r="G21" s="57"/>
      <c r="H21" s="57"/>
      <c r="I21" s="57"/>
      <c r="J21" s="57"/>
    </row>
  </sheetData>
  <mergeCells count="4">
    <mergeCell ref="A1:W1"/>
    <mergeCell ref="A2:W2"/>
    <mergeCell ref="A19:C19"/>
    <mergeCell ref="A21:J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864"/>
  </sheetPr>
  <dimension ref="A1:L15"/>
  <sheetViews>
    <sheetView showGridLines="0" zoomScaleNormal="100" workbookViewId="0">
      <pane ySplit="3" topLeftCell="A4" activePane="bottomLeft" state="frozen"/>
      <selection pane="bottomLeft" activeCell="A4" sqref="A4:XFD4"/>
    </sheetView>
  </sheetViews>
  <sheetFormatPr defaultColWidth="8.6640625" defaultRowHeight="14.4" x14ac:dyDescent="0.3"/>
  <cols>
    <col min="1" max="1" width="34.5546875" bestFit="1" customWidth="1"/>
    <col min="2" max="2" width="12.77734375" bestFit="1" customWidth="1"/>
    <col min="5" max="5" width="14" customWidth="1"/>
    <col min="6" max="6" width="12" customWidth="1"/>
    <col min="7" max="7" width="14" customWidth="1"/>
    <col min="8" max="8" width="12" customWidth="1"/>
    <col min="9" max="9" width="16" customWidth="1"/>
    <col min="10" max="10" width="12" customWidth="1"/>
  </cols>
  <sheetData>
    <row r="1" spans="1:12" ht="21.75" customHeight="1" x14ac:dyDescent="0.3">
      <c r="A1" s="55" t="s">
        <v>85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15" customHeight="1" x14ac:dyDescent="0.3">
      <c r="A2" s="51" t="s">
        <v>86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39" customHeight="1" x14ac:dyDescent="0.3">
      <c r="A3" s="9" t="s">
        <v>30</v>
      </c>
      <c r="B3" s="9" t="s">
        <v>31</v>
      </c>
      <c r="C3" s="9" t="s">
        <v>87</v>
      </c>
      <c r="D3" s="9" t="s">
        <v>88</v>
      </c>
      <c r="E3" s="9" t="s">
        <v>89</v>
      </c>
      <c r="F3" s="9" t="s">
        <v>90</v>
      </c>
      <c r="G3" s="9" t="s">
        <v>91</v>
      </c>
      <c r="H3" s="9" t="s">
        <v>90</v>
      </c>
      <c r="I3" s="9" t="s">
        <v>92</v>
      </c>
      <c r="J3" s="9" t="s">
        <v>90</v>
      </c>
      <c r="K3" s="9" t="s">
        <v>93</v>
      </c>
      <c r="L3" s="9" t="s">
        <v>90</v>
      </c>
    </row>
    <row r="4" spans="1:12" ht="15" customHeight="1" x14ac:dyDescent="0.3">
      <c r="A4" s="18" t="s">
        <v>53</v>
      </c>
      <c r="B4" s="18" t="s">
        <v>54</v>
      </c>
      <c r="C4" s="25">
        <v>1.0500000000000001E-2</v>
      </c>
      <c r="D4" s="19">
        <f t="shared" ref="D4:D13" si="0">RANK(C4,$C$4:$C$13,1)</f>
        <v>1</v>
      </c>
      <c r="E4" s="25">
        <v>7.9299999999999995E-2</v>
      </c>
      <c r="F4" s="19">
        <f t="shared" ref="F4:F13" si="1">RANK(E4,$E$4:$E$13,0)</f>
        <v>4</v>
      </c>
      <c r="G4" s="25">
        <v>3.2899999999999999E-2</v>
      </c>
      <c r="H4" s="19">
        <f t="shared" ref="H4:H13" si="2">RANK(G4,$G$4:$G$13,0)</f>
        <v>4</v>
      </c>
      <c r="I4" s="25">
        <v>0.44600000000000001</v>
      </c>
      <c r="J4" s="19">
        <f t="shared" ref="J4:J13" si="3">RANK(I4,$I$4:$I$13,0)</f>
        <v>2</v>
      </c>
      <c r="K4" s="25">
        <v>0.13930000000000001</v>
      </c>
      <c r="L4" s="19">
        <f t="shared" ref="L4:L13" si="4">RANK(K4,$K$4:$K$13,0)</f>
        <v>6</v>
      </c>
    </row>
    <row r="5" spans="1:12" ht="15" customHeight="1" x14ac:dyDescent="0.3">
      <c r="A5" s="10" t="s">
        <v>55</v>
      </c>
      <c r="B5" s="10" t="s">
        <v>56</v>
      </c>
      <c r="C5" s="17">
        <v>1.7999999999999999E-2</v>
      </c>
      <c r="D5" s="11">
        <f t="shared" si="0"/>
        <v>4</v>
      </c>
      <c r="E5" s="17">
        <v>5.7000000000000002E-2</v>
      </c>
      <c r="F5" s="11">
        <f t="shared" si="1"/>
        <v>8</v>
      </c>
      <c r="G5" s="17">
        <v>3.9E-2</v>
      </c>
      <c r="H5" s="11">
        <f t="shared" si="2"/>
        <v>2</v>
      </c>
      <c r="I5" s="17">
        <v>0.441</v>
      </c>
      <c r="J5" s="11">
        <f t="shared" si="3"/>
        <v>3</v>
      </c>
      <c r="K5" s="17">
        <v>0.124038516716209</v>
      </c>
      <c r="L5" s="11">
        <f t="shared" si="4"/>
        <v>9</v>
      </c>
    </row>
    <row r="6" spans="1:12" ht="15" customHeight="1" x14ac:dyDescent="0.3">
      <c r="A6" s="18" t="s">
        <v>57</v>
      </c>
      <c r="B6" s="18" t="s">
        <v>58</v>
      </c>
      <c r="C6" s="25">
        <v>3.3700000000000001E-2</v>
      </c>
      <c r="D6" s="19">
        <f t="shared" si="0"/>
        <v>7</v>
      </c>
      <c r="E6" s="25">
        <v>0.1986</v>
      </c>
      <c r="F6" s="19">
        <f t="shared" si="1"/>
        <v>1</v>
      </c>
      <c r="G6" s="25">
        <v>8.6800000000000002E-2</v>
      </c>
      <c r="H6" s="19">
        <f t="shared" si="2"/>
        <v>1</v>
      </c>
      <c r="I6" s="25">
        <v>0.51890000000000003</v>
      </c>
      <c r="J6" s="19">
        <f t="shared" si="3"/>
        <v>1</v>
      </c>
      <c r="K6" s="25">
        <v>0.16059999999999999</v>
      </c>
      <c r="L6" s="19">
        <f t="shared" si="4"/>
        <v>4</v>
      </c>
    </row>
    <row r="7" spans="1:12" ht="15" customHeight="1" x14ac:dyDescent="0.3">
      <c r="A7" s="10" t="s">
        <v>59</v>
      </c>
      <c r="B7" s="10" t="s">
        <v>60</v>
      </c>
      <c r="C7" s="17">
        <v>1.4999999999999999E-2</v>
      </c>
      <c r="D7" s="11">
        <f t="shared" si="0"/>
        <v>3</v>
      </c>
      <c r="E7" s="17">
        <v>6.0999999999999999E-2</v>
      </c>
      <c r="F7" s="11">
        <f t="shared" si="1"/>
        <v>7</v>
      </c>
      <c r="G7" s="17">
        <v>2.4E-2</v>
      </c>
      <c r="H7" s="11">
        <f t="shared" si="2"/>
        <v>7</v>
      </c>
      <c r="I7" s="17">
        <v>0.253</v>
      </c>
      <c r="J7" s="11">
        <f t="shared" si="3"/>
        <v>5</v>
      </c>
      <c r="K7" s="17">
        <v>0.13100000000000001</v>
      </c>
      <c r="L7" s="11">
        <f t="shared" si="4"/>
        <v>7</v>
      </c>
    </row>
    <row r="8" spans="1:12" ht="15" customHeight="1" x14ac:dyDescent="0.3">
      <c r="A8" s="18" t="s">
        <v>61</v>
      </c>
      <c r="B8" s="18" t="s">
        <v>62</v>
      </c>
      <c r="C8" s="25">
        <v>1.21E-2</v>
      </c>
      <c r="D8" s="19">
        <f t="shared" si="0"/>
        <v>2</v>
      </c>
      <c r="E8" s="25">
        <v>2.6800000000000001E-2</v>
      </c>
      <c r="F8" s="19">
        <f t="shared" si="1"/>
        <v>10</v>
      </c>
      <c r="G8" s="25">
        <v>1.78E-2</v>
      </c>
      <c r="H8" s="19">
        <f t="shared" si="2"/>
        <v>9</v>
      </c>
      <c r="I8" s="25">
        <v>0.2422</v>
      </c>
      <c r="J8" s="19">
        <f t="shared" si="3"/>
        <v>6</v>
      </c>
      <c r="K8" s="25">
        <v>0.14000000000000001</v>
      </c>
      <c r="L8" s="19">
        <f t="shared" si="4"/>
        <v>5</v>
      </c>
    </row>
    <row r="9" spans="1:12" ht="15" customHeight="1" x14ac:dyDescent="0.3">
      <c r="A9" s="10" t="s">
        <v>63</v>
      </c>
      <c r="B9" s="10" t="s">
        <v>64</v>
      </c>
      <c r="C9" s="17">
        <v>3.4000000000000002E-2</v>
      </c>
      <c r="D9" s="11">
        <f t="shared" si="0"/>
        <v>8</v>
      </c>
      <c r="E9" s="17">
        <v>7.0999999999999994E-2</v>
      </c>
      <c r="F9" s="11">
        <f t="shared" si="1"/>
        <v>5</v>
      </c>
      <c r="G9" s="17">
        <v>0.02</v>
      </c>
      <c r="H9" s="11">
        <f t="shared" si="2"/>
        <v>8</v>
      </c>
      <c r="I9" s="17">
        <v>0.188</v>
      </c>
      <c r="J9" s="11">
        <f t="shared" si="3"/>
        <v>10</v>
      </c>
      <c r="K9" s="17">
        <v>0.125</v>
      </c>
      <c r="L9" s="11">
        <f t="shared" si="4"/>
        <v>8</v>
      </c>
    </row>
    <row r="10" spans="1:12" ht="15" customHeight="1" x14ac:dyDescent="0.3">
      <c r="A10" s="18" t="s">
        <v>65</v>
      </c>
      <c r="B10" s="18" t="s">
        <v>66</v>
      </c>
      <c r="C10" s="25">
        <v>2.1399999999999999E-2</v>
      </c>
      <c r="D10" s="19">
        <f t="shared" si="0"/>
        <v>5</v>
      </c>
      <c r="E10" s="25">
        <v>5.3699999999999998E-2</v>
      </c>
      <c r="F10" s="19">
        <f t="shared" si="1"/>
        <v>9</v>
      </c>
      <c r="G10" s="25">
        <v>3.0300000000000001E-2</v>
      </c>
      <c r="H10" s="19">
        <f t="shared" si="2"/>
        <v>6</v>
      </c>
      <c r="I10" s="25">
        <v>0.1895</v>
      </c>
      <c r="J10" s="19">
        <f t="shared" si="3"/>
        <v>9</v>
      </c>
      <c r="K10" s="25">
        <v>0.17499999999999999</v>
      </c>
      <c r="L10" s="19">
        <f t="shared" si="4"/>
        <v>2</v>
      </c>
    </row>
    <row r="11" spans="1:12" ht="15" customHeight="1" x14ac:dyDescent="0.3">
      <c r="A11" s="10" t="s">
        <v>67</v>
      </c>
      <c r="B11" s="10" t="s">
        <v>68</v>
      </c>
      <c r="C11" s="17">
        <v>2.35E-2</v>
      </c>
      <c r="D11" s="11">
        <f t="shared" si="0"/>
        <v>6</v>
      </c>
      <c r="E11" s="17">
        <v>6.2199999999999998E-2</v>
      </c>
      <c r="F11" s="11">
        <f t="shared" si="1"/>
        <v>6</v>
      </c>
      <c r="G11" s="17">
        <v>1.6400000000000001E-2</v>
      </c>
      <c r="H11" s="11">
        <f t="shared" si="2"/>
        <v>10</v>
      </c>
      <c r="I11" s="17">
        <v>0.31</v>
      </c>
      <c r="J11" s="11">
        <f t="shared" si="3"/>
        <v>4</v>
      </c>
      <c r="K11" s="17">
        <v>7.2599999999999998E-2</v>
      </c>
      <c r="L11" s="11">
        <f t="shared" si="4"/>
        <v>10</v>
      </c>
    </row>
    <row r="12" spans="1:12" ht="15" customHeight="1" x14ac:dyDescent="0.3">
      <c r="A12" s="18" t="s">
        <v>69</v>
      </c>
      <c r="B12" s="18" t="s">
        <v>70</v>
      </c>
      <c r="C12" s="25">
        <v>4.58E-2</v>
      </c>
      <c r="D12" s="19">
        <f t="shared" si="0"/>
        <v>10</v>
      </c>
      <c r="E12" s="25">
        <v>8.3799999999999999E-2</v>
      </c>
      <c r="F12" s="19">
        <f t="shared" si="1"/>
        <v>2</v>
      </c>
      <c r="G12" s="25">
        <v>3.1E-2</v>
      </c>
      <c r="H12" s="19">
        <f t="shared" si="2"/>
        <v>5</v>
      </c>
      <c r="I12" s="25">
        <v>0.20399999999999999</v>
      </c>
      <c r="J12" s="19">
        <f t="shared" si="3"/>
        <v>7</v>
      </c>
      <c r="K12" s="25">
        <v>0.1653</v>
      </c>
      <c r="L12" s="19">
        <f t="shared" si="4"/>
        <v>3</v>
      </c>
    </row>
    <row r="13" spans="1:12" ht="15" customHeight="1" x14ac:dyDescent="0.3">
      <c r="A13" s="10" t="s">
        <v>94</v>
      </c>
      <c r="B13" s="10" t="s">
        <v>80</v>
      </c>
      <c r="C13" s="17">
        <v>4.3999999999999997E-2</v>
      </c>
      <c r="D13" s="11">
        <f t="shared" si="0"/>
        <v>9</v>
      </c>
      <c r="E13" s="17">
        <v>0.08</v>
      </c>
      <c r="F13" s="11">
        <f t="shared" si="1"/>
        <v>3</v>
      </c>
      <c r="G13" s="17">
        <v>3.3000000000000002E-2</v>
      </c>
      <c r="H13" s="11">
        <f t="shared" si="2"/>
        <v>3</v>
      </c>
      <c r="I13" s="17">
        <v>0.19209999999999999</v>
      </c>
      <c r="J13" s="11">
        <f t="shared" si="3"/>
        <v>8</v>
      </c>
      <c r="K13" s="17">
        <v>0.19700000000000001</v>
      </c>
      <c r="L13" s="11">
        <f t="shared" si="4"/>
        <v>1</v>
      </c>
    </row>
    <row r="15" spans="1:12" ht="24" customHeight="1" x14ac:dyDescent="0.3">
      <c r="A15" s="57" t="s">
        <v>95</v>
      </c>
      <c r="B15" s="57"/>
      <c r="C15" s="57"/>
      <c r="D15" s="57"/>
      <c r="E15" s="57"/>
      <c r="F15" s="57"/>
      <c r="G15" s="57"/>
      <c r="H15" s="57"/>
    </row>
  </sheetData>
  <mergeCells count="3">
    <mergeCell ref="A1:L1"/>
    <mergeCell ref="A2:L2"/>
    <mergeCell ref="A15:H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K24"/>
  <sheetViews>
    <sheetView showGridLines="0" zoomScaleNormal="100" workbookViewId="0">
      <pane ySplit="12" topLeftCell="A13" activePane="bottomLeft" state="frozen"/>
      <selection pane="bottomLeft" activeCell="A13" sqref="A13:XFD13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3" customWidth="1"/>
    <col min="6" max="6" width="15" customWidth="1"/>
    <col min="7" max="7" width="17" customWidth="1"/>
    <col min="8" max="8" width="13" customWidth="1"/>
    <col min="9" max="9" width="7.109375" customWidth="1"/>
    <col min="10" max="10" width="10" customWidth="1"/>
  </cols>
  <sheetData>
    <row r="1" spans="1:11" ht="21.75" customHeight="1" x14ac:dyDescent="0.3">
      <c r="A1" s="55" t="s">
        <v>96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25.5" customHeight="1" x14ac:dyDescent="0.3">
      <c r="A2" s="51" t="s">
        <v>97</v>
      </c>
      <c r="B2" s="51"/>
      <c r="C2" s="51"/>
      <c r="D2" s="51"/>
      <c r="E2" s="51"/>
      <c r="F2" s="51"/>
      <c r="G2" s="51"/>
      <c r="H2" s="51"/>
      <c r="I2" s="51"/>
      <c r="J2" s="51"/>
      <c r="K2" s="51"/>
    </row>
    <row r="4" spans="1:11" ht="15" customHeight="1" x14ac:dyDescent="0.3">
      <c r="J4" s="58" t="s">
        <v>98</v>
      </c>
      <c r="K4" s="58"/>
    </row>
    <row r="5" spans="1:11" ht="15" customHeight="1" x14ac:dyDescent="0.3">
      <c r="J5" s="28" t="s">
        <v>48</v>
      </c>
      <c r="K5" s="29">
        <v>0.3</v>
      </c>
    </row>
    <row r="6" spans="1:11" ht="15" customHeight="1" x14ac:dyDescent="0.3">
      <c r="J6" s="28" t="s">
        <v>49</v>
      </c>
      <c r="K6" s="29">
        <v>0.25</v>
      </c>
    </row>
    <row r="7" spans="1:11" ht="15" customHeight="1" x14ac:dyDescent="0.3">
      <c r="J7" s="28" t="s">
        <v>50</v>
      </c>
      <c r="K7" s="29">
        <v>0.2</v>
      </c>
    </row>
    <row r="8" spans="1:11" ht="15" customHeight="1" x14ac:dyDescent="0.3">
      <c r="J8" s="28" t="s">
        <v>99</v>
      </c>
      <c r="K8" s="29">
        <v>0.15</v>
      </c>
    </row>
    <row r="9" spans="1:11" ht="15" customHeight="1" x14ac:dyDescent="0.3">
      <c r="J9" s="28" t="s">
        <v>52</v>
      </c>
      <c r="K9" s="29">
        <v>0.1</v>
      </c>
    </row>
    <row r="10" spans="1:11" ht="15" customHeight="1" x14ac:dyDescent="0.3">
      <c r="J10" s="30" t="s">
        <v>100</v>
      </c>
      <c r="K10" s="31">
        <f>SUM(K5:K9)</f>
        <v>1</v>
      </c>
    </row>
    <row r="12" spans="1:11" ht="30" customHeight="1" x14ac:dyDescent="0.3">
      <c r="A12" s="9" t="s">
        <v>30</v>
      </c>
      <c r="B12" s="9" t="s">
        <v>31</v>
      </c>
      <c r="C12" s="9" t="s">
        <v>101</v>
      </c>
      <c r="D12" s="9" t="s">
        <v>102</v>
      </c>
      <c r="E12" s="9" t="s">
        <v>103</v>
      </c>
      <c r="F12" s="9" t="s">
        <v>104</v>
      </c>
      <c r="G12" s="9" t="s">
        <v>105</v>
      </c>
      <c r="H12" s="9" t="s">
        <v>106</v>
      </c>
      <c r="I12" s="9" t="s">
        <v>107</v>
      </c>
    </row>
    <row r="13" spans="1:11" ht="15" customHeight="1" x14ac:dyDescent="0.3">
      <c r="A13" s="32" t="s">
        <v>53</v>
      </c>
      <c r="B13" s="32" t="s">
        <v>54</v>
      </c>
      <c r="C13" s="33">
        <f>(('2. Fundamental Ranking'!$C$12-'2. Fundamental Ranking'!C4)/('2. Fundamental Ranking'!$C$12-'2. Fundamental Ranking'!$C$4))*$K$5</f>
        <v>0.3</v>
      </c>
      <c r="D13" s="33">
        <f>(('2. Fundamental Ranking'!E4-'2. Fundamental Ranking'!$E$8)/('2. Fundamental Ranking'!$E$6-'2. Fundamental Ranking'!$E$8))*$K$6</f>
        <v>7.6396973224679837E-2</v>
      </c>
      <c r="E13" s="33">
        <f>(('2. Fundamental Ranking'!G4-'2. Fundamental Ranking'!$G$11)/('2. Fundamental Ranking'!$G$6-'2. Fundamental Ranking'!$G$11))*$K$7</f>
        <v>4.6874999999999993E-2</v>
      </c>
      <c r="F13" s="33">
        <f>(('2. Fundamental Ranking'!I4-'2. Fundamental Ranking'!$I$9)/('2. Fundamental Ranking'!$I$6-'2. Fundamental Ranking'!$I$9))*$K$8</f>
        <v>0.11695376246600181</v>
      </c>
      <c r="G13" s="33">
        <f>(('2. Fundamental Ranking'!K4-'2. Fundamental Ranking'!$K$11)/('2. Fundamental Ranking'!$K$13-'2. Fundamental Ranking'!$K$11))*$K$9</f>
        <v>5.3617363344051455E-2</v>
      </c>
      <c r="H13" s="34">
        <f t="shared" ref="H13:H22" si="0">SUM(C13:G13)</f>
        <v>0.59384309903473309</v>
      </c>
      <c r="I13" s="35">
        <f>RANK(H13,$H$13:$H$22,0)</f>
        <v>2</v>
      </c>
    </row>
    <row r="14" spans="1:11" ht="15" customHeight="1" x14ac:dyDescent="0.3">
      <c r="A14" s="36" t="s">
        <v>55</v>
      </c>
      <c r="B14" s="36" t="s">
        <v>56</v>
      </c>
      <c r="C14" s="37">
        <f>(('2. Fundamental Ranking'!$C$12-'2. Fundamental Ranking'!C5)/('2. Fundamental Ranking'!$C$12-'2. Fundamental Ranking'!$C$4))*$K$5</f>
        <v>0.23626062322946179</v>
      </c>
      <c r="D14" s="37">
        <f>(('2. Fundamental Ranking'!E5-'2. Fundamental Ranking'!$E$8)/('2. Fundamental Ranking'!$E$6-'2. Fundamental Ranking'!$E$8))*$K$6</f>
        <v>4.3946449359720606E-2</v>
      </c>
      <c r="E14" s="37">
        <f>(('2. Fundamental Ranking'!G5-'2. Fundamental Ranking'!$G$11)/('2. Fundamental Ranking'!$G$6-'2. Fundamental Ranking'!$G$11))*$K$7</f>
        <v>6.4204545454545445E-2</v>
      </c>
      <c r="F14" s="37">
        <f>(('2. Fundamental Ranking'!I5-'2. Fundamental Ranking'!$I$9)/('2. Fundamental Ranking'!$I$6-'2. Fundamental Ranking'!$I$9))*$K$8</f>
        <v>0.11468721668177695</v>
      </c>
      <c r="G14" s="37">
        <f>(('2. Fundamental Ranking'!K5-'2. Fundamental Ranking'!$K$11)/('2. Fundamental Ranking'!$K$13-'2. Fundamental Ranking'!$K$11))*$K$9</f>
        <v>4.1349289964798225E-2</v>
      </c>
      <c r="H14" s="38">
        <f t="shared" si="0"/>
        <v>0.50044812469030298</v>
      </c>
      <c r="I14" s="39">
        <f t="shared" ref="I14:I22" si="1">RANK(H14,$H$13:$H$22,0)</f>
        <v>3</v>
      </c>
    </row>
    <row r="15" spans="1:11" ht="15" customHeight="1" x14ac:dyDescent="0.3">
      <c r="A15" s="32" t="s">
        <v>57</v>
      </c>
      <c r="B15" s="32" t="s">
        <v>58</v>
      </c>
      <c r="C15" s="33">
        <f>(('2. Fundamental Ranking'!$C$12-'2. Fundamental Ranking'!C6)/('2. Fundamental Ranking'!$C$12-'2. Fundamental Ranking'!$C$4))*$K$5</f>
        <v>0.1028328611898017</v>
      </c>
      <c r="D15" s="33">
        <f>(('2. Fundamental Ranking'!E6-'2. Fundamental Ranking'!$E$8)/('2. Fundamental Ranking'!$E$6-'2. Fundamental Ranking'!$E$8))*$K$6</f>
        <v>0.25</v>
      </c>
      <c r="E15" s="33">
        <f>(('2. Fundamental Ranking'!G6-'2. Fundamental Ranking'!$G$11)/('2. Fundamental Ranking'!$G$6-'2. Fundamental Ranking'!$G$11))*$K$7</f>
        <v>0.2</v>
      </c>
      <c r="F15" s="33">
        <f>(('2. Fundamental Ranking'!I6-'2. Fundamental Ranking'!$I$9)/('2. Fundamental Ranking'!$I$6-'2. Fundamental Ranking'!$I$9))*$K$8</f>
        <v>0.15</v>
      </c>
      <c r="G15" s="33">
        <f>(('2. Fundamental Ranking'!K6-'2. Fundamental Ranking'!$K$11)/('2. Fundamental Ranking'!$K$13-'2. Fundamental Ranking'!$K$11))*$K$9</f>
        <v>7.0739549839228297E-2</v>
      </c>
      <c r="H15" s="34">
        <f t="shared" si="0"/>
        <v>0.77357241102902996</v>
      </c>
      <c r="I15" s="35">
        <f>RANK(H15,$H$13:$H$22,0)</f>
        <v>1</v>
      </c>
    </row>
    <row r="16" spans="1:11" ht="15" customHeight="1" x14ac:dyDescent="0.3">
      <c r="A16" s="36" t="s">
        <v>59</v>
      </c>
      <c r="B16" s="36" t="s">
        <v>60</v>
      </c>
      <c r="C16" s="37">
        <f>(('2. Fundamental Ranking'!$C$12-'2. Fundamental Ranking'!C7)/('2. Fundamental Ranking'!$C$12-'2. Fundamental Ranking'!$C$4))*$K$5</f>
        <v>0.26175637393767709</v>
      </c>
      <c r="D16" s="37">
        <f>(('2. Fundamental Ranking'!E7-'2. Fundamental Ranking'!$E$8)/('2. Fundamental Ranking'!$E$6-'2. Fundamental Ranking'!$E$8))*$K$6</f>
        <v>4.9767171129220016E-2</v>
      </c>
      <c r="E16" s="37">
        <f>(('2. Fundamental Ranking'!G7-'2. Fundamental Ranking'!$G$11)/('2. Fundamental Ranking'!$G$6-'2. Fundamental Ranking'!$G$11))*$K$7</f>
        <v>2.1590909090909091E-2</v>
      </c>
      <c r="F16" s="37">
        <f>(('2. Fundamental Ranking'!I7-'2. Fundamental Ranking'!$I$9)/('2. Fundamental Ranking'!$I$6-'2. Fundamental Ranking'!$I$9))*$K$8</f>
        <v>2.9465095194922932E-2</v>
      </c>
      <c r="G16" s="37">
        <f>(('2. Fundamental Ranking'!K7-'2. Fundamental Ranking'!$K$11)/('2. Fundamental Ranking'!$K$13-'2. Fundamental Ranking'!$K$11))*$K$9</f>
        <v>4.6945337620578786E-2</v>
      </c>
      <c r="H16" s="38">
        <f t="shared" si="0"/>
        <v>0.40952488697330791</v>
      </c>
      <c r="I16" s="39">
        <f t="shared" si="1"/>
        <v>4</v>
      </c>
    </row>
    <row r="17" spans="1:9" ht="15" customHeight="1" x14ac:dyDescent="0.3">
      <c r="A17" s="32" t="s">
        <v>61</v>
      </c>
      <c r="B17" s="32" t="s">
        <v>62</v>
      </c>
      <c r="C17" s="33">
        <f>(('2. Fundamental Ranking'!$C$12-'2. Fundamental Ranking'!C8)/('2. Fundamental Ranking'!$C$12-'2. Fundamental Ranking'!$C$4))*$K$5</f>
        <v>0.28640226628895188</v>
      </c>
      <c r="D17" s="33">
        <f>(('2. Fundamental Ranking'!E8-'2. Fundamental Ranking'!$E$8)/('2. Fundamental Ranking'!$E$6-'2. Fundamental Ranking'!$E$8))*$K$6</f>
        <v>0</v>
      </c>
      <c r="E17" s="33">
        <f>(('2. Fundamental Ranking'!G8-'2. Fundamental Ranking'!$G$11)/('2. Fundamental Ranking'!$G$6-'2. Fundamental Ranking'!$G$11))*$K$7</f>
        <v>3.9772727272727225E-3</v>
      </c>
      <c r="F17" s="33">
        <f>(('2. Fundamental Ranking'!I8-'2. Fundamental Ranking'!$I$9)/('2. Fundamental Ranking'!$I$6-'2. Fundamental Ranking'!$I$9))*$K$8</f>
        <v>2.456935630099728E-2</v>
      </c>
      <c r="G17" s="33">
        <f>(('2. Fundamental Ranking'!K8-'2. Fundamental Ranking'!$K$11)/('2. Fundamental Ranking'!$K$13-'2. Fundamental Ranking'!$K$11))*$K$9</f>
        <v>5.4180064308681677E-2</v>
      </c>
      <c r="H17" s="34">
        <f t="shared" si="0"/>
        <v>0.36912895962590353</v>
      </c>
      <c r="I17" s="35">
        <f t="shared" si="1"/>
        <v>5</v>
      </c>
    </row>
    <row r="18" spans="1:9" ht="15" customHeight="1" x14ac:dyDescent="0.3">
      <c r="A18" s="36" t="s">
        <v>63</v>
      </c>
      <c r="B18" s="36" t="s">
        <v>64</v>
      </c>
      <c r="C18" s="37">
        <f>(('2. Fundamental Ranking'!$C$12-'2. Fundamental Ranking'!C9)/('2. Fundamental Ranking'!$C$12-'2. Fundamental Ranking'!$C$4))*$K$5</f>
        <v>0.10028328611898016</v>
      </c>
      <c r="D18" s="37">
        <f>(('2. Fundamental Ranking'!E9-'2. Fundamental Ranking'!$E$8)/('2. Fundamental Ranking'!$E$6-'2. Fundamental Ranking'!$E$8))*$K$6</f>
        <v>6.4318975552968546E-2</v>
      </c>
      <c r="E18" s="37">
        <f>(('2. Fundamental Ranking'!G9-'2. Fundamental Ranking'!$G$11)/('2. Fundamental Ranking'!$G$6-'2. Fundamental Ranking'!$G$11))*$K$7</f>
        <v>1.0227272727272724E-2</v>
      </c>
      <c r="F18" s="37">
        <f>(('2. Fundamental Ranking'!I9-'2. Fundamental Ranking'!$I$9)/('2. Fundamental Ranking'!$I$6-'2. Fundamental Ranking'!$I$9))*$K$8</f>
        <v>0</v>
      </c>
      <c r="G18" s="37">
        <f>(('2. Fundamental Ranking'!K9-'2. Fundamental Ranking'!$K$11)/('2. Fundamental Ranking'!$K$13-'2. Fundamental Ranking'!$K$11))*$K$9</f>
        <v>4.212218649517685E-2</v>
      </c>
      <c r="H18" s="38">
        <f t="shared" si="0"/>
        <v>0.21695172089439826</v>
      </c>
      <c r="I18" s="39">
        <f t="shared" si="1"/>
        <v>9</v>
      </c>
    </row>
    <row r="19" spans="1:9" ht="15" customHeight="1" x14ac:dyDescent="0.3">
      <c r="A19" s="32" t="s">
        <v>65</v>
      </c>
      <c r="B19" s="32" t="s">
        <v>66</v>
      </c>
      <c r="C19" s="33">
        <f>(('2. Fundamental Ranking'!$C$12-'2. Fundamental Ranking'!C10)/('2. Fundamental Ranking'!$C$12-'2. Fundamental Ranking'!$C$4))*$K$5</f>
        <v>0.20736543909348445</v>
      </c>
      <c r="D19" s="33">
        <f>(('2. Fundamental Ranking'!E10-'2. Fundamental Ranking'!$E$8)/('2. Fundamental Ranking'!$E$6-'2. Fundamental Ranking'!$E$8))*$K$6</f>
        <v>3.9144353899883577E-2</v>
      </c>
      <c r="E19" s="33">
        <f>(('2. Fundamental Ranking'!G10-'2. Fundamental Ranking'!$G$11)/('2. Fundamental Ranking'!$G$6-'2. Fundamental Ranking'!$G$11))*$K$7</f>
        <v>3.9488636363636365E-2</v>
      </c>
      <c r="F19" s="33">
        <f>(('2. Fundamental Ranking'!I10-'2. Fundamental Ranking'!$I$9)/('2. Fundamental Ranking'!$I$6-'2. Fundamental Ranking'!$I$9))*$K$8</f>
        <v>6.7996373526745294E-4</v>
      </c>
      <c r="G19" s="33">
        <f>(('2. Fundamental Ranking'!K10-'2. Fundamental Ranking'!$K$11)/('2. Fundamental Ranking'!$K$13-'2. Fundamental Ranking'!$K$11))*$K$9</f>
        <v>8.2315112540192914E-2</v>
      </c>
      <c r="H19" s="34">
        <f t="shared" si="0"/>
        <v>0.36899350563246475</v>
      </c>
      <c r="I19" s="35">
        <f t="shared" si="1"/>
        <v>6</v>
      </c>
    </row>
    <row r="20" spans="1:9" ht="15" customHeight="1" x14ac:dyDescent="0.3">
      <c r="A20" s="36" t="s">
        <v>67</v>
      </c>
      <c r="B20" s="36" t="s">
        <v>68</v>
      </c>
      <c r="C20" s="37">
        <f>(('2. Fundamental Ranking'!$C$12-'2. Fundamental Ranking'!C11)/('2. Fundamental Ranking'!$C$12-'2. Fundamental Ranking'!$C$4))*$K$5</f>
        <v>0.18951841359773372</v>
      </c>
      <c r="D20" s="37">
        <f>(('2. Fundamental Ranking'!E11-'2. Fundamental Ranking'!$E$8)/('2. Fundamental Ranking'!$E$6-'2. Fundamental Ranking'!$E$8))*$K$6</f>
        <v>5.1513387660069847E-2</v>
      </c>
      <c r="E20" s="37">
        <f>(('2. Fundamental Ranking'!G11-'2. Fundamental Ranking'!$G$11)/('2. Fundamental Ranking'!$G$6-'2. Fundamental Ranking'!$G$11))*$K$7</f>
        <v>0</v>
      </c>
      <c r="F20" s="37">
        <f>(('2. Fundamental Ranking'!I11-'2. Fundamental Ranking'!$I$9)/('2. Fundamental Ranking'!$I$6-'2. Fundamental Ranking'!$I$9))*$K$8</f>
        <v>5.5303717135086118E-2</v>
      </c>
      <c r="G20" s="37">
        <f>(('2. Fundamental Ranking'!K11-'2. Fundamental Ranking'!$K$11)/('2. Fundamental Ranking'!$K$13-'2. Fundamental Ranking'!$K$11))*$K$9</f>
        <v>0</v>
      </c>
      <c r="H20" s="38">
        <f t="shared" si="0"/>
        <v>0.29633551839288969</v>
      </c>
      <c r="I20" s="39">
        <f t="shared" si="1"/>
        <v>7</v>
      </c>
    </row>
    <row r="21" spans="1:9" ht="15" customHeight="1" x14ac:dyDescent="0.3">
      <c r="A21" s="32" t="s">
        <v>69</v>
      </c>
      <c r="B21" s="32" t="s">
        <v>70</v>
      </c>
      <c r="C21" s="33">
        <f>(('2. Fundamental Ranking'!$C$12-'2. Fundamental Ranking'!C12)/('2. Fundamental Ranking'!$C$12-'2. Fundamental Ranking'!$C$4))*$K$5</f>
        <v>0</v>
      </c>
      <c r="D21" s="33">
        <f>(('2. Fundamental Ranking'!E12-'2. Fundamental Ranking'!$E$8)/('2. Fundamental Ranking'!$E$6-'2. Fundamental Ranking'!$E$8))*$K$6</f>
        <v>8.294528521536669E-2</v>
      </c>
      <c r="E21" s="33">
        <f>(('2. Fundamental Ranking'!G12-'2. Fundamental Ranking'!$G$11)/('2. Fundamental Ranking'!$G$6-'2. Fundamental Ranking'!$G$11))*$K$7</f>
        <v>4.1477272727272724E-2</v>
      </c>
      <c r="F21" s="33">
        <f>(('2. Fundamental Ranking'!I12-'2. Fundamental Ranking'!$I$9)/('2. Fundamental Ranking'!$I$6-'2. Fundamental Ranking'!$I$9))*$K$8</f>
        <v>7.2529465095194853E-3</v>
      </c>
      <c r="G21" s="33">
        <f>(('2. Fundamental Ranking'!K12-'2. Fundamental Ranking'!$K$11)/('2. Fundamental Ranking'!$K$13-'2. Fundamental Ranking'!$K$11))*$K$9</f>
        <v>7.4517684887459801E-2</v>
      </c>
      <c r="H21" s="34">
        <f t="shared" si="0"/>
        <v>0.20619318933961869</v>
      </c>
      <c r="I21" s="35">
        <f t="shared" si="1"/>
        <v>10</v>
      </c>
    </row>
    <row r="22" spans="1:9" ht="15" customHeight="1" x14ac:dyDescent="0.3">
      <c r="A22" s="36" t="s">
        <v>94</v>
      </c>
      <c r="B22" s="36" t="s">
        <v>80</v>
      </c>
      <c r="C22" s="37">
        <f>(('2. Fundamental Ranking'!$C$12-'2. Fundamental Ranking'!C13)/('2. Fundamental Ranking'!$C$12-'2. Fundamental Ranking'!$C$4))*$K$5</f>
        <v>1.5297450424929204E-2</v>
      </c>
      <c r="D22" s="37">
        <f>(('2. Fundamental Ranking'!E13-'2. Fundamental Ranking'!$E$8)/('2. Fundamental Ranking'!$E$6-'2. Fundamental Ranking'!$E$8))*$K$6</f>
        <v>7.7415599534342253E-2</v>
      </c>
      <c r="E22" s="37">
        <f>(('2. Fundamental Ranking'!G13-'2. Fundamental Ranking'!$G$11)/('2. Fundamental Ranking'!$G$6-'2. Fundamental Ranking'!$G$11))*$K$7</f>
        <v>4.7159090909090907E-2</v>
      </c>
      <c r="F22" s="37">
        <f>(('2. Fundamental Ranking'!I13-'2. Fundamental Ranking'!$I$9)/('2. Fundamental Ranking'!$I$6-'2. Fundamental Ranking'!$I$9))*$K$8</f>
        <v>1.8585675430643663E-3</v>
      </c>
      <c r="G22" s="37">
        <f>(('2. Fundamental Ranking'!K13-'2. Fundamental Ranking'!$K$11)/('2. Fundamental Ranking'!$K$13-'2. Fundamental Ranking'!$K$11))*$K$9</f>
        <v>0.1</v>
      </c>
      <c r="H22" s="38">
        <f t="shared" si="0"/>
        <v>0.24173070841142674</v>
      </c>
      <c r="I22" s="39">
        <f t="shared" si="1"/>
        <v>8</v>
      </c>
    </row>
    <row r="24" spans="1:9" ht="21.75" customHeight="1" x14ac:dyDescent="0.3">
      <c r="A24" s="57" t="s">
        <v>108</v>
      </c>
      <c r="B24" s="57"/>
      <c r="C24" s="57"/>
      <c r="D24" s="57"/>
      <c r="E24" s="57"/>
      <c r="F24" s="57"/>
      <c r="G24" s="57"/>
      <c r="H24" s="57"/>
      <c r="I24" s="57"/>
    </row>
  </sheetData>
  <mergeCells count="4">
    <mergeCell ref="A1:K1"/>
    <mergeCell ref="A2:K2"/>
    <mergeCell ref="J4:K4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I20"/>
  <sheetViews>
    <sheetView showGridLines="0" zoomScaleNormal="100" workbookViewId="0">
      <pane ySplit="7" topLeftCell="A8" activePane="bottomLeft" state="frozen"/>
      <selection pane="bottomLeft" activeCell="D5" sqref="D5"/>
    </sheetView>
  </sheetViews>
  <sheetFormatPr defaultColWidth="8.6640625" defaultRowHeight="14.4" x14ac:dyDescent="0.3"/>
  <cols>
    <col min="1" max="1" width="30" customWidth="1"/>
    <col min="2" max="2" width="12" customWidth="1"/>
    <col min="3" max="3" width="13" customWidth="1"/>
    <col min="4" max="4" width="7.109375" bestFit="1" customWidth="1"/>
    <col min="5" max="5" width="12.44140625" bestFit="1" customWidth="1"/>
    <col min="6" max="6" width="12.109375" customWidth="1"/>
    <col min="7" max="7" width="15.109375" customWidth="1"/>
    <col min="8" max="8" width="12.44140625" customWidth="1"/>
    <col min="9" max="9" width="8.44140625" customWidth="1"/>
  </cols>
  <sheetData>
    <row r="1" spans="1:9" ht="21.75" customHeight="1" x14ac:dyDescent="0.3">
      <c r="A1" s="55" t="s">
        <v>109</v>
      </c>
      <c r="B1" s="55"/>
      <c r="C1" s="55"/>
      <c r="D1" s="55"/>
      <c r="E1" s="55"/>
      <c r="F1" s="55"/>
      <c r="G1" s="55"/>
      <c r="H1" s="55"/>
      <c r="I1" s="55"/>
    </row>
    <row r="2" spans="1:9" ht="25.5" customHeight="1" x14ac:dyDescent="0.3">
      <c r="A2" s="51" t="s">
        <v>110</v>
      </c>
      <c r="B2" s="51"/>
      <c r="C2" s="51"/>
      <c r="D2" s="51"/>
      <c r="E2" s="51"/>
      <c r="F2" s="51"/>
      <c r="G2" s="51"/>
      <c r="H2" s="51"/>
      <c r="I2" s="51"/>
    </row>
    <row r="4" spans="1:9" ht="15" customHeight="1" x14ac:dyDescent="0.3">
      <c r="A4" s="30" t="s">
        <v>111</v>
      </c>
      <c r="B4" s="40">
        <v>100000000</v>
      </c>
    </row>
    <row r="5" spans="1:9" ht="15" customHeight="1" x14ac:dyDescent="0.3">
      <c r="A5" s="30" t="s">
        <v>112</v>
      </c>
      <c r="B5" s="41">
        <v>10</v>
      </c>
    </row>
    <row r="7" spans="1:9" ht="30" customHeight="1" x14ac:dyDescent="0.3">
      <c r="A7" s="9" t="s">
        <v>30</v>
      </c>
      <c r="B7" s="9" t="s">
        <v>31</v>
      </c>
      <c r="C7" s="9" t="s">
        <v>113</v>
      </c>
      <c r="D7" s="9" t="s">
        <v>114</v>
      </c>
      <c r="E7" s="9" t="s">
        <v>115</v>
      </c>
      <c r="F7" s="9" t="s">
        <v>107</v>
      </c>
      <c r="G7" s="9" t="s">
        <v>116</v>
      </c>
      <c r="H7" s="9" t="s">
        <v>117</v>
      </c>
      <c r="I7" s="9" t="s">
        <v>116</v>
      </c>
    </row>
    <row r="8" spans="1:9" ht="15" customHeight="1" x14ac:dyDescent="0.3">
      <c r="A8" s="18" t="s">
        <v>53</v>
      </c>
      <c r="B8" s="19" t="s">
        <v>54</v>
      </c>
      <c r="C8" s="42">
        <v>1509</v>
      </c>
      <c r="D8" s="48">
        <v>10844</v>
      </c>
      <c r="E8" s="20">
        <f t="shared" ref="E8:E17" si="0">C8*D8</f>
        <v>16363596</v>
      </c>
      <c r="F8" s="43">
        <f>'3. Weighted Normalize Model'!I13</f>
        <v>2</v>
      </c>
      <c r="G8" s="25">
        <f t="shared" ref="G8:G17" si="1">E8/SUM($E$8:$E$17)</f>
        <v>0.16363751946556052</v>
      </c>
      <c r="H8" s="12">
        <f t="shared" ref="H8:H17" si="2">G8*C8</f>
        <v>246.92901687353083</v>
      </c>
      <c r="I8" s="15">
        <f t="shared" ref="I8:I17" si="3">H8/SUM($H$8:$H$17)</f>
        <v>0.17105334552248869</v>
      </c>
    </row>
    <row r="9" spans="1:9" ht="15" customHeight="1" x14ac:dyDescent="0.3">
      <c r="A9" s="10" t="s">
        <v>55</v>
      </c>
      <c r="B9" s="11" t="s">
        <v>56</v>
      </c>
      <c r="C9" s="44">
        <v>1207</v>
      </c>
      <c r="D9" s="49">
        <v>12051</v>
      </c>
      <c r="E9" s="12">
        <f t="shared" si="0"/>
        <v>14545557</v>
      </c>
      <c r="F9" s="45">
        <f>'3. Weighted Normalize Model'!I14</f>
        <v>3</v>
      </c>
      <c r="G9" s="17">
        <f t="shared" si="1"/>
        <v>0.14545695620479263</v>
      </c>
      <c r="H9" s="20">
        <f t="shared" si="2"/>
        <v>175.56654613918471</v>
      </c>
      <c r="I9" s="23">
        <f t="shared" si="3"/>
        <v>0.12161893915576945</v>
      </c>
    </row>
    <row r="10" spans="1:9" ht="15" customHeight="1" x14ac:dyDescent="0.3">
      <c r="A10" s="18" t="s">
        <v>57</v>
      </c>
      <c r="B10" s="19" t="s">
        <v>58</v>
      </c>
      <c r="C10" s="42">
        <v>551</v>
      </c>
      <c r="D10" s="48">
        <v>32998</v>
      </c>
      <c r="E10" s="20">
        <f t="shared" si="0"/>
        <v>18181898</v>
      </c>
      <c r="F10" s="43">
        <f>'3. Weighted Normalize Model'!I15</f>
        <v>1</v>
      </c>
      <c r="G10" s="25">
        <f t="shared" si="1"/>
        <v>0.18182071275139253</v>
      </c>
      <c r="H10" s="12">
        <f t="shared" si="2"/>
        <v>100.18321272601729</v>
      </c>
      <c r="I10" s="15">
        <f t="shared" si="3"/>
        <v>6.9399189771015363E-2</v>
      </c>
    </row>
    <row r="11" spans="1:9" ht="15" customHeight="1" x14ac:dyDescent="0.3">
      <c r="A11" s="10" t="s">
        <v>59</v>
      </c>
      <c r="B11" s="11" t="s">
        <v>60</v>
      </c>
      <c r="C11" s="44">
        <v>526</v>
      </c>
      <c r="D11" s="49">
        <v>24196</v>
      </c>
      <c r="E11" s="12">
        <f t="shared" si="0"/>
        <v>12727096</v>
      </c>
      <c r="F11" s="45">
        <f>'3. Weighted Normalize Model'!I16</f>
        <v>4</v>
      </c>
      <c r="G11" s="17">
        <f t="shared" si="1"/>
        <v>0.12727217290380777</v>
      </c>
      <c r="H11" s="20">
        <f t="shared" si="2"/>
        <v>66.945162947402892</v>
      </c>
      <c r="I11" s="23">
        <f t="shared" si="3"/>
        <v>4.6374436806535177E-2</v>
      </c>
    </row>
    <row r="12" spans="1:9" ht="15" customHeight="1" x14ac:dyDescent="0.3">
      <c r="A12" s="18" t="s">
        <v>61</v>
      </c>
      <c r="B12" s="19" t="s">
        <v>62</v>
      </c>
      <c r="C12" s="42">
        <v>544</v>
      </c>
      <c r="D12" s="48">
        <v>20053</v>
      </c>
      <c r="E12" s="20">
        <f t="shared" si="0"/>
        <v>10908832</v>
      </c>
      <c r="F12" s="43">
        <f>'3. Weighted Normalize Model'!I17</f>
        <v>5</v>
      </c>
      <c r="G12" s="25">
        <f t="shared" si="1"/>
        <v>0.10908935962159719</v>
      </c>
      <c r="H12" s="12">
        <f t="shared" si="2"/>
        <v>59.344611634148869</v>
      </c>
      <c r="I12" s="15">
        <f t="shared" si="3"/>
        <v>4.1109362063969319E-2</v>
      </c>
    </row>
    <row r="13" spans="1:9" ht="15" customHeight="1" x14ac:dyDescent="0.3">
      <c r="A13" s="10" t="s">
        <v>63</v>
      </c>
      <c r="B13" s="11" t="s">
        <v>64</v>
      </c>
      <c r="C13" s="44">
        <v>332</v>
      </c>
      <c r="D13" s="49">
        <v>10953</v>
      </c>
      <c r="E13" s="12">
        <f t="shared" si="0"/>
        <v>3636396</v>
      </c>
      <c r="F13" s="45">
        <f>'3. Weighted Normalize Model'!I18</f>
        <v>9</v>
      </c>
      <c r="G13" s="17">
        <f t="shared" si="1"/>
        <v>3.636430655184144E-2</v>
      </c>
      <c r="H13" s="20">
        <f t="shared" si="2"/>
        <v>12.072949775211358</v>
      </c>
      <c r="I13" s="23">
        <f t="shared" si="3"/>
        <v>8.3632068661763162E-3</v>
      </c>
    </row>
    <row r="14" spans="1:9" ht="15" customHeight="1" x14ac:dyDescent="0.3">
      <c r="A14" s="18" t="s">
        <v>65</v>
      </c>
      <c r="B14" s="19" t="s">
        <v>66</v>
      </c>
      <c r="C14" s="42">
        <v>4784</v>
      </c>
      <c r="D14" s="48">
        <v>1900</v>
      </c>
      <c r="E14" s="20">
        <f>C14*D14</f>
        <v>9089600</v>
      </c>
      <c r="F14" s="43">
        <f>'3. Weighted Normalize Model'!I19</f>
        <v>6</v>
      </c>
      <c r="G14" s="25">
        <f t="shared" si="1"/>
        <v>9.0896866247135333E-2</v>
      </c>
      <c r="H14" s="12">
        <f t="shared" si="2"/>
        <v>434.85060812629541</v>
      </c>
      <c r="I14" s="15">
        <f t="shared" si="3"/>
        <v>0.30123090540059111</v>
      </c>
    </row>
    <row r="15" spans="1:9" ht="15" customHeight="1" x14ac:dyDescent="0.3">
      <c r="A15" s="10" t="s">
        <v>67</v>
      </c>
      <c r="B15" s="11" t="s">
        <v>68</v>
      </c>
      <c r="C15" s="44">
        <v>3124</v>
      </c>
      <c r="D15" s="49">
        <v>2328</v>
      </c>
      <c r="E15" s="12">
        <f t="shared" si="0"/>
        <v>7272672</v>
      </c>
      <c r="F15" s="45">
        <f>'3. Weighted Normalize Model'!I20</f>
        <v>7</v>
      </c>
      <c r="G15" s="17">
        <f t="shared" si="1"/>
        <v>7.272741309224677E-2</v>
      </c>
      <c r="H15" s="20">
        <f t="shared" si="2"/>
        <v>227.2004385001789</v>
      </c>
      <c r="I15" s="23">
        <f t="shared" si="3"/>
        <v>0.15738691062596599</v>
      </c>
    </row>
    <row r="16" spans="1:9" ht="15" customHeight="1" x14ac:dyDescent="0.3">
      <c r="A16" s="18" t="s">
        <v>69</v>
      </c>
      <c r="B16" s="19" t="s">
        <v>70</v>
      </c>
      <c r="C16" s="42">
        <v>1067</v>
      </c>
      <c r="D16" s="48">
        <v>1704</v>
      </c>
      <c r="E16" s="20">
        <f>C16*D16</f>
        <v>1818168</v>
      </c>
      <c r="F16" s="43">
        <f>'3. Weighted Normalize Model'!I21</f>
        <v>10</v>
      </c>
      <c r="G16" s="25">
        <f t="shared" si="1"/>
        <v>1.8181853273061693E-2</v>
      </c>
      <c r="H16" s="12">
        <f t="shared" si="2"/>
        <v>19.400037442356826</v>
      </c>
      <c r="I16" s="15">
        <f t="shared" si="3"/>
        <v>1.3438847122111533E-2</v>
      </c>
    </row>
    <row r="17" spans="1:9" ht="15" customHeight="1" x14ac:dyDescent="0.3">
      <c r="A17" s="10" t="s">
        <v>94</v>
      </c>
      <c r="B17" s="11" t="s">
        <v>80</v>
      </c>
      <c r="C17" s="44">
        <v>1853</v>
      </c>
      <c r="D17" s="49">
        <v>2944</v>
      </c>
      <c r="E17" s="12">
        <f t="shared" si="0"/>
        <v>5455232</v>
      </c>
      <c r="F17" s="45">
        <f>'3. Weighted Normalize Model'!I22</f>
        <v>8</v>
      </c>
      <c r="G17" s="17">
        <f t="shared" si="1"/>
        <v>5.4552839888564138E-2</v>
      </c>
      <c r="H17" s="20">
        <f t="shared" si="2"/>
        <v>101.08641231350934</v>
      </c>
      <c r="I17" s="23">
        <f t="shared" si="3"/>
        <v>7.0024856665377055E-2</v>
      </c>
    </row>
    <row r="18" spans="1:9" ht="15" customHeight="1" x14ac:dyDescent="0.3">
      <c r="A18" s="59" t="s">
        <v>100</v>
      </c>
      <c r="B18" s="59"/>
      <c r="C18" s="59"/>
      <c r="D18" s="59"/>
      <c r="E18" s="46">
        <f>SUM(E8:E17)</f>
        <v>99999047</v>
      </c>
      <c r="F18" s="46"/>
      <c r="G18" s="47">
        <f>SUM(G8:G17)</f>
        <v>0.99999999999999989</v>
      </c>
      <c r="H18" s="46">
        <f>SUM(H8:H17)</f>
        <v>1443.5789964778364</v>
      </c>
      <c r="I18" s="31">
        <f>SUM(I8:I17)</f>
        <v>1</v>
      </c>
    </row>
    <row r="20" spans="1:9" ht="25.5" customHeight="1" x14ac:dyDescent="0.3">
      <c r="A20" s="60" t="s">
        <v>118</v>
      </c>
      <c r="B20" s="60"/>
      <c r="C20" s="60"/>
      <c r="D20" s="60"/>
      <c r="E20" s="60"/>
      <c r="F20" s="60"/>
      <c r="G20" s="60"/>
      <c r="H20" s="60"/>
      <c r="I20" s="60"/>
    </row>
  </sheetData>
  <mergeCells count="4">
    <mergeCell ref="A1:I1"/>
    <mergeCell ref="A2:I2"/>
    <mergeCell ref="A18:D18"/>
    <mergeCell ref="A20:I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1. Valuation Screen</vt:lpstr>
      <vt:lpstr>2. Fundamental Ranking</vt:lpstr>
      <vt:lpstr>3. Weighted Normalize Model</vt:lpstr>
      <vt:lpstr>4. Portfolio 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Vishvjeet Thakur</cp:lastModifiedBy>
  <cp:revision>0</cp:revision>
  <dcterms:created xsi:type="dcterms:W3CDTF">2026-08-01T10:42:58Z</dcterms:created>
  <dcterms:modified xsi:type="dcterms:W3CDTF">2026-08-01T12:00:20Z</dcterms:modified>
  <dc:language>en-US</dc:language>
</cp:coreProperties>
</file>