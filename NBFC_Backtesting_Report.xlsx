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hv\Downloads\ABCL\"/>
    </mc:Choice>
  </mc:AlternateContent>
  <xr:revisionPtr revIDLastSave="0" documentId="13_ncr:1_{4473AD46-3766-4F58-812F-D4322B8F242D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Cover Page" sheetId="1" r:id="rId1"/>
    <sheet name="Content" sheetId="14" r:id="rId2"/>
    <sheet name="Vwap" sheetId="2" r:id="rId3"/>
    <sheet name="SuperTrend" sheetId="3" r:id="rId4"/>
    <sheet name="MA" sheetId="4" r:id="rId5"/>
    <sheet name="MACD" sheetId="5" r:id="rId6"/>
    <sheet name="RSI" sheetId="6" r:id="rId7"/>
    <sheet name="Stochastic RSI" sheetId="7" r:id="rId8"/>
    <sheet name="BB" sheetId="8" r:id="rId9"/>
    <sheet name="AO" sheetId="9" r:id="rId10"/>
    <sheet name="PPS" sheetId="10" r:id="rId11"/>
    <sheet name="WA" sheetId="11" r:id="rId12"/>
    <sheet name="Resul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  <c r="D86" i="9"/>
  <c r="C13" i="1"/>
  <c r="B5" i="13"/>
  <c r="E14" i="13"/>
  <c r="F14" i="13"/>
  <c r="L82" i="11"/>
  <c r="K82" i="11"/>
  <c r="J82" i="11"/>
  <c r="E82" i="11"/>
  <c r="D82" i="11"/>
  <c r="C82" i="11"/>
  <c r="M81" i="11"/>
  <c r="F81" i="11"/>
  <c r="M80" i="11"/>
  <c r="F80" i="11"/>
  <c r="M79" i="11"/>
  <c r="F79" i="11"/>
  <c r="M78" i="11"/>
  <c r="F78" i="11"/>
  <c r="M77" i="11"/>
  <c r="F77" i="11"/>
  <c r="M76" i="11"/>
  <c r="F76" i="11"/>
  <c r="M75" i="11"/>
  <c r="F75" i="11"/>
  <c r="M74" i="11"/>
  <c r="F74" i="11"/>
  <c r="M73" i="11"/>
  <c r="F73" i="11"/>
  <c r="M72" i="11"/>
  <c r="F72" i="11"/>
  <c r="M71" i="11"/>
  <c r="F71" i="11"/>
  <c r="M70" i="11"/>
  <c r="F70" i="11"/>
  <c r="M69" i="11"/>
  <c r="F69" i="11"/>
  <c r="M68" i="11"/>
  <c r="F68" i="11"/>
  <c r="M67" i="11"/>
  <c r="F67" i="11"/>
  <c r="L62" i="11"/>
  <c r="K62" i="11"/>
  <c r="J62" i="11"/>
  <c r="E62" i="11"/>
  <c r="D62" i="11"/>
  <c r="C62" i="11"/>
  <c r="M61" i="11"/>
  <c r="F61" i="11"/>
  <c r="M60" i="11"/>
  <c r="F60" i="11"/>
  <c r="M59" i="11"/>
  <c r="F59" i="11"/>
  <c r="M58" i="11"/>
  <c r="F58" i="11"/>
  <c r="M57" i="11"/>
  <c r="F57" i="11"/>
  <c r="M56" i="11"/>
  <c r="F56" i="11"/>
  <c r="M55" i="11"/>
  <c r="F55" i="11"/>
  <c r="M54" i="11"/>
  <c r="F54" i="11"/>
  <c r="M53" i="11"/>
  <c r="F53" i="11"/>
  <c r="M52" i="11"/>
  <c r="F52" i="11"/>
  <c r="M51" i="11"/>
  <c r="F51" i="11"/>
  <c r="M50" i="11"/>
  <c r="F50" i="11"/>
  <c r="M49" i="11"/>
  <c r="F49" i="11"/>
  <c r="M48" i="11"/>
  <c r="F48" i="11"/>
  <c r="M47" i="11"/>
  <c r="F47" i="11"/>
  <c r="L42" i="11"/>
  <c r="K42" i="11"/>
  <c r="J42" i="11"/>
  <c r="E42" i="11"/>
  <c r="D42" i="11"/>
  <c r="C42" i="11"/>
  <c r="M41" i="11"/>
  <c r="F41" i="11"/>
  <c r="M40" i="11"/>
  <c r="F40" i="11"/>
  <c r="M39" i="11"/>
  <c r="F39" i="11"/>
  <c r="M38" i="11"/>
  <c r="F38" i="11"/>
  <c r="M37" i="11"/>
  <c r="F37" i="11"/>
  <c r="M36" i="11"/>
  <c r="F36" i="11"/>
  <c r="M35" i="11"/>
  <c r="F35" i="11"/>
  <c r="M34" i="11"/>
  <c r="F34" i="11"/>
  <c r="M33" i="11"/>
  <c r="F33" i="11"/>
  <c r="M32" i="11"/>
  <c r="F32" i="11"/>
  <c r="M31" i="11"/>
  <c r="F31" i="11"/>
  <c r="M30" i="11"/>
  <c r="F30" i="11"/>
  <c r="M29" i="11"/>
  <c r="F29" i="11"/>
  <c r="M28" i="11"/>
  <c r="F28" i="11"/>
  <c r="M27" i="11"/>
  <c r="F27" i="11"/>
  <c r="L22" i="11"/>
  <c r="K22" i="11"/>
  <c r="J22" i="11"/>
  <c r="E22" i="11"/>
  <c r="D22" i="11"/>
  <c r="C22" i="11"/>
  <c r="M21" i="11"/>
  <c r="F21" i="11"/>
  <c r="M20" i="11"/>
  <c r="F20" i="11"/>
  <c r="M19" i="11"/>
  <c r="F19" i="11"/>
  <c r="M18" i="11"/>
  <c r="F18" i="11"/>
  <c r="M17" i="11"/>
  <c r="F17" i="11"/>
  <c r="M16" i="11"/>
  <c r="F16" i="11"/>
  <c r="M15" i="11"/>
  <c r="F15" i="11"/>
  <c r="M14" i="11"/>
  <c r="F14" i="11"/>
  <c r="M13" i="11"/>
  <c r="F13" i="11"/>
  <c r="M12" i="11"/>
  <c r="F12" i="11"/>
  <c r="M11" i="11"/>
  <c r="F11" i="11"/>
  <c r="M10" i="11"/>
  <c r="F10" i="11"/>
  <c r="M9" i="11"/>
  <c r="F9" i="11"/>
  <c r="M8" i="11"/>
  <c r="F8" i="11"/>
  <c r="M7" i="11"/>
  <c r="F7" i="11"/>
  <c r="L82" i="10"/>
  <c r="K82" i="10"/>
  <c r="J82" i="10"/>
  <c r="E82" i="10"/>
  <c r="D82" i="10"/>
  <c r="C82" i="10"/>
  <c r="M81" i="10"/>
  <c r="F81" i="10"/>
  <c r="M80" i="10"/>
  <c r="F80" i="10"/>
  <c r="M79" i="10"/>
  <c r="F79" i="10"/>
  <c r="M78" i="10"/>
  <c r="F78" i="10"/>
  <c r="M77" i="10"/>
  <c r="F77" i="10"/>
  <c r="M76" i="10"/>
  <c r="F76" i="10"/>
  <c r="M75" i="10"/>
  <c r="F75" i="10"/>
  <c r="M74" i="10"/>
  <c r="F74" i="10"/>
  <c r="M73" i="10"/>
  <c r="F73" i="10"/>
  <c r="M72" i="10"/>
  <c r="F72" i="10"/>
  <c r="M71" i="10"/>
  <c r="F71" i="10"/>
  <c r="M70" i="10"/>
  <c r="F70" i="10"/>
  <c r="M69" i="10"/>
  <c r="F69" i="10"/>
  <c r="M68" i="10"/>
  <c r="F68" i="10"/>
  <c r="M67" i="10"/>
  <c r="F67" i="10"/>
  <c r="L62" i="10"/>
  <c r="K62" i="10"/>
  <c r="J62" i="10"/>
  <c r="E62" i="10"/>
  <c r="D62" i="10"/>
  <c r="C62" i="10"/>
  <c r="M61" i="10"/>
  <c r="F61" i="10"/>
  <c r="M60" i="10"/>
  <c r="F60" i="10"/>
  <c r="M59" i="10"/>
  <c r="F59" i="10"/>
  <c r="M58" i="10"/>
  <c r="F58" i="10"/>
  <c r="M57" i="10"/>
  <c r="F57" i="10"/>
  <c r="M56" i="10"/>
  <c r="F56" i="10"/>
  <c r="M55" i="10"/>
  <c r="F55" i="10"/>
  <c r="M54" i="10"/>
  <c r="F54" i="10"/>
  <c r="M53" i="10"/>
  <c r="F53" i="10"/>
  <c r="M52" i="10"/>
  <c r="F52" i="10"/>
  <c r="M51" i="10"/>
  <c r="F51" i="10"/>
  <c r="M50" i="10"/>
  <c r="F50" i="10"/>
  <c r="M49" i="10"/>
  <c r="F49" i="10"/>
  <c r="M48" i="10"/>
  <c r="F48" i="10"/>
  <c r="M47" i="10"/>
  <c r="F47" i="10"/>
  <c r="L42" i="10"/>
  <c r="K42" i="10"/>
  <c r="J42" i="10"/>
  <c r="E42" i="10"/>
  <c r="D42" i="10"/>
  <c r="C42" i="10"/>
  <c r="M41" i="10"/>
  <c r="F41" i="10"/>
  <c r="M40" i="10"/>
  <c r="F40" i="10"/>
  <c r="M39" i="10"/>
  <c r="F39" i="10"/>
  <c r="M38" i="10"/>
  <c r="F38" i="10"/>
  <c r="M37" i="10"/>
  <c r="F37" i="10"/>
  <c r="M36" i="10"/>
  <c r="F36" i="10"/>
  <c r="M35" i="10"/>
  <c r="F35" i="10"/>
  <c r="M34" i="10"/>
  <c r="F34" i="10"/>
  <c r="M33" i="10"/>
  <c r="F33" i="10"/>
  <c r="M32" i="10"/>
  <c r="F32" i="10"/>
  <c r="M31" i="10"/>
  <c r="F31" i="10"/>
  <c r="M30" i="10"/>
  <c r="F30" i="10"/>
  <c r="M29" i="10"/>
  <c r="F29" i="10"/>
  <c r="M28" i="10"/>
  <c r="F28" i="10"/>
  <c r="M27" i="10"/>
  <c r="F27" i="10"/>
  <c r="L22" i="10"/>
  <c r="K22" i="10"/>
  <c r="J22" i="10"/>
  <c r="E22" i="10"/>
  <c r="D22" i="10"/>
  <c r="C22" i="10"/>
  <c r="M21" i="10"/>
  <c r="F21" i="10"/>
  <c r="M20" i="10"/>
  <c r="F20" i="10"/>
  <c r="M19" i="10"/>
  <c r="F19" i="10"/>
  <c r="M18" i="10"/>
  <c r="F18" i="10"/>
  <c r="M17" i="10"/>
  <c r="F17" i="10"/>
  <c r="M16" i="10"/>
  <c r="F16" i="10"/>
  <c r="M15" i="10"/>
  <c r="F15" i="10"/>
  <c r="M14" i="10"/>
  <c r="F14" i="10"/>
  <c r="M13" i="10"/>
  <c r="F13" i="10"/>
  <c r="M12" i="10"/>
  <c r="F12" i="10"/>
  <c r="M11" i="10"/>
  <c r="F11" i="10"/>
  <c r="M10" i="10"/>
  <c r="F10" i="10"/>
  <c r="M9" i="10"/>
  <c r="F9" i="10"/>
  <c r="M8" i="10"/>
  <c r="F8" i="10"/>
  <c r="M7" i="10"/>
  <c r="F7" i="10"/>
  <c r="L82" i="9"/>
  <c r="K82" i="9"/>
  <c r="J82" i="9"/>
  <c r="E82" i="9"/>
  <c r="D82" i="9"/>
  <c r="C82" i="9"/>
  <c r="M81" i="9"/>
  <c r="F81" i="9"/>
  <c r="M80" i="9"/>
  <c r="F80" i="9"/>
  <c r="M79" i="9"/>
  <c r="F79" i="9"/>
  <c r="M78" i="9"/>
  <c r="F78" i="9"/>
  <c r="M77" i="9"/>
  <c r="F77" i="9"/>
  <c r="M76" i="9"/>
  <c r="F76" i="9"/>
  <c r="M75" i="9"/>
  <c r="F75" i="9"/>
  <c r="M74" i="9"/>
  <c r="F74" i="9"/>
  <c r="M73" i="9"/>
  <c r="F73" i="9"/>
  <c r="M72" i="9"/>
  <c r="F72" i="9"/>
  <c r="M71" i="9"/>
  <c r="F71" i="9"/>
  <c r="M70" i="9"/>
  <c r="F70" i="9"/>
  <c r="M69" i="9"/>
  <c r="F69" i="9"/>
  <c r="M68" i="9"/>
  <c r="F68" i="9"/>
  <c r="M67" i="9"/>
  <c r="F67" i="9"/>
  <c r="L62" i="9"/>
  <c r="K62" i="9"/>
  <c r="J62" i="9"/>
  <c r="E62" i="9"/>
  <c r="D62" i="9"/>
  <c r="C62" i="9"/>
  <c r="M61" i="9"/>
  <c r="F61" i="9"/>
  <c r="M60" i="9"/>
  <c r="F60" i="9"/>
  <c r="M59" i="9"/>
  <c r="F59" i="9"/>
  <c r="M58" i="9"/>
  <c r="F58" i="9"/>
  <c r="M57" i="9"/>
  <c r="F57" i="9"/>
  <c r="M56" i="9"/>
  <c r="F56" i="9"/>
  <c r="M55" i="9"/>
  <c r="F55" i="9"/>
  <c r="M54" i="9"/>
  <c r="F54" i="9"/>
  <c r="M53" i="9"/>
  <c r="F53" i="9"/>
  <c r="M52" i="9"/>
  <c r="F52" i="9"/>
  <c r="M51" i="9"/>
  <c r="F51" i="9"/>
  <c r="M50" i="9"/>
  <c r="F50" i="9"/>
  <c r="M49" i="9"/>
  <c r="F49" i="9"/>
  <c r="M48" i="9"/>
  <c r="F48" i="9"/>
  <c r="M47" i="9"/>
  <c r="F47" i="9"/>
  <c r="L42" i="9"/>
  <c r="K42" i="9"/>
  <c r="J42" i="9"/>
  <c r="E42" i="9"/>
  <c r="D42" i="9"/>
  <c r="C42" i="9"/>
  <c r="M41" i="9"/>
  <c r="F41" i="9"/>
  <c r="M40" i="9"/>
  <c r="F40" i="9"/>
  <c r="M39" i="9"/>
  <c r="F39" i="9"/>
  <c r="M38" i="9"/>
  <c r="F38" i="9"/>
  <c r="M37" i="9"/>
  <c r="F37" i="9"/>
  <c r="M36" i="9"/>
  <c r="F36" i="9"/>
  <c r="M35" i="9"/>
  <c r="F35" i="9"/>
  <c r="M34" i="9"/>
  <c r="F34" i="9"/>
  <c r="M33" i="9"/>
  <c r="F33" i="9"/>
  <c r="M32" i="9"/>
  <c r="F32" i="9"/>
  <c r="M31" i="9"/>
  <c r="F31" i="9"/>
  <c r="M30" i="9"/>
  <c r="F30" i="9"/>
  <c r="M29" i="9"/>
  <c r="F29" i="9"/>
  <c r="M28" i="9"/>
  <c r="F28" i="9"/>
  <c r="M27" i="9"/>
  <c r="F27" i="9"/>
  <c r="L22" i="9"/>
  <c r="K22" i="9"/>
  <c r="J22" i="9"/>
  <c r="E22" i="9"/>
  <c r="D22" i="9"/>
  <c r="C22" i="9"/>
  <c r="M21" i="9"/>
  <c r="F21" i="9"/>
  <c r="M20" i="9"/>
  <c r="F20" i="9"/>
  <c r="M19" i="9"/>
  <c r="F19" i="9"/>
  <c r="M18" i="9"/>
  <c r="F18" i="9"/>
  <c r="M17" i="9"/>
  <c r="F17" i="9"/>
  <c r="M16" i="9"/>
  <c r="F16" i="9"/>
  <c r="M15" i="9"/>
  <c r="F15" i="9"/>
  <c r="M14" i="9"/>
  <c r="F14" i="9"/>
  <c r="M13" i="9"/>
  <c r="F13" i="9"/>
  <c r="M12" i="9"/>
  <c r="F12" i="9"/>
  <c r="M11" i="9"/>
  <c r="F11" i="9"/>
  <c r="M10" i="9"/>
  <c r="F10" i="9"/>
  <c r="M9" i="9"/>
  <c r="F9" i="9"/>
  <c r="M8" i="9"/>
  <c r="F8" i="9"/>
  <c r="M7" i="9"/>
  <c r="F7" i="9"/>
  <c r="L82" i="8"/>
  <c r="K82" i="8"/>
  <c r="J82" i="8"/>
  <c r="E82" i="8"/>
  <c r="D82" i="8"/>
  <c r="C82" i="8"/>
  <c r="M81" i="8"/>
  <c r="F81" i="8"/>
  <c r="M80" i="8"/>
  <c r="F80" i="8"/>
  <c r="M79" i="8"/>
  <c r="F79" i="8"/>
  <c r="M78" i="8"/>
  <c r="F78" i="8"/>
  <c r="M77" i="8"/>
  <c r="F77" i="8"/>
  <c r="M76" i="8"/>
  <c r="F76" i="8"/>
  <c r="M75" i="8"/>
  <c r="F75" i="8"/>
  <c r="M74" i="8"/>
  <c r="F74" i="8"/>
  <c r="M73" i="8"/>
  <c r="F73" i="8"/>
  <c r="M72" i="8"/>
  <c r="F72" i="8"/>
  <c r="M71" i="8"/>
  <c r="F71" i="8"/>
  <c r="M70" i="8"/>
  <c r="F70" i="8"/>
  <c r="M69" i="8"/>
  <c r="F69" i="8"/>
  <c r="M68" i="8"/>
  <c r="F68" i="8"/>
  <c r="M67" i="8"/>
  <c r="F67" i="8"/>
  <c r="L62" i="8"/>
  <c r="K62" i="8"/>
  <c r="J62" i="8"/>
  <c r="E62" i="8"/>
  <c r="D62" i="8"/>
  <c r="C62" i="8"/>
  <c r="M61" i="8"/>
  <c r="F61" i="8"/>
  <c r="M60" i="8"/>
  <c r="F60" i="8"/>
  <c r="M59" i="8"/>
  <c r="F59" i="8"/>
  <c r="M58" i="8"/>
  <c r="F58" i="8"/>
  <c r="M57" i="8"/>
  <c r="F57" i="8"/>
  <c r="M56" i="8"/>
  <c r="F56" i="8"/>
  <c r="M55" i="8"/>
  <c r="F55" i="8"/>
  <c r="M54" i="8"/>
  <c r="F54" i="8"/>
  <c r="M53" i="8"/>
  <c r="F53" i="8"/>
  <c r="M52" i="8"/>
  <c r="F52" i="8"/>
  <c r="M51" i="8"/>
  <c r="F51" i="8"/>
  <c r="M50" i="8"/>
  <c r="F50" i="8"/>
  <c r="M49" i="8"/>
  <c r="F49" i="8"/>
  <c r="M48" i="8"/>
  <c r="F48" i="8"/>
  <c r="M47" i="8"/>
  <c r="F47" i="8"/>
  <c r="L42" i="8"/>
  <c r="K42" i="8"/>
  <c r="J42" i="8"/>
  <c r="E42" i="8"/>
  <c r="D42" i="8"/>
  <c r="C42" i="8"/>
  <c r="M41" i="8"/>
  <c r="F41" i="8"/>
  <c r="M40" i="8"/>
  <c r="F40" i="8"/>
  <c r="M39" i="8"/>
  <c r="F39" i="8"/>
  <c r="M38" i="8"/>
  <c r="F38" i="8"/>
  <c r="M37" i="8"/>
  <c r="F37" i="8"/>
  <c r="M36" i="8"/>
  <c r="F36" i="8"/>
  <c r="M35" i="8"/>
  <c r="F35" i="8"/>
  <c r="M34" i="8"/>
  <c r="F34" i="8"/>
  <c r="M33" i="8"/>
  <c r="F33" i="8"/>
  <c r="M32" i="8"/>
  <c r="F32" i="8"/>
  <c r="M31" i="8"/>
  <c r="F31" i="8"/>
  <c r="M30" i="8"/>
  <c r="F30" i="8"/>
  <c r="M29" i="8"/>
  <c r="F29" i="8"/>
  <c r="M28" i="8"/>
  <c r="F28" i="8"/>
  <c r="M27" i="8"/>
  <c r="F27" i="8"/>
  <c r="L22" i="8"/>
  <c r="K22" i="8"/>
  <c r="J22" i="8"/>
  <c r="E22" i="8"/>
  <c r="D22" i="8"/>
  <c r="C22" i="8"/>
  <c r="M21" i="8"/>
  <c r="F21" i="8"/>
  <c r="M20" i="8"/>
  <c r="F20" i="8"/>
  <c r="M19" i="8"/>
  <c r="F19" i="8"/>
  <c r="M18" i="8"/>
  <c r="F18" i="8"/>
  <c r="M17" i="8"/>
  <c r="F17" i="8"/>
  <c r="M16" i="8"/>
  <c r="F16" i="8"/>
  <c r="M15" i="8"/>
  <c r="F15" i="8"/>
  <c r="M14" i="8"/>
  <c r="F14" i="8"/>
  <c r="M13" i="8"/>
  <c r="F13" i="8"/>
  <c r="M12" i="8"/>
  <c r="F12" i="8"/>
  <c r="M11" i="8"/>
  <c r="F11" i="8"/>
  <c r="M10" i="8"/>
  <c r="F10" i="8"/>
  <c r="M9" i="8"/>
  <c r="F9" i="8"/>
  <c r="M8" i="8"/>
  <c r="F8" i="8"/>
  <c r="M7" i="8"/>
  <c r="F7" i="8"/>
  <c r="L82" i="7"/>
  <c r="K82" i="7"/>
  <c r="J82" i="7"/>
  <c r="E82" i="7"/>
  <c r="D82" i="7"/>
  <c r="C82" i="7"/>
  <c r="M81" i="7"/>
  <c r="F81" i="7"/>
  <c r="M80" i="7"/>
  <c r="F80" i="7"/>
  <c r="M79" i="7"/>
  <c r="F79" i="7"/>
  <c r="M78" i="7"/>
  <c r="F78" i="7"/>
  <c r="M77" i="7"/>
  <c r="F77" i="7"/>
  <c r="M76" i="7"/>
  <c r="F76" i="7"/>
  <c r="M75" i="7"/>
  <c r="F75" i="7"/>
  <c r="M74" i="7"/>
  <c r="F74" i="7"/>
  <c r="M73" i="7"/>
  <c r="F73" i="7"/>
  <c r="M72" i="7"/>
  <c r="F72" i="7"/>
  <c r="M71" i="7"/>
  <c r="F71" i="7"/>
  <c r="M70" i="7"/>
  <c r="F70" i="7"/>
  <c r="M69" i="7"/>
  <c r="F69" i="7"/>
  <c r="M68" i="7"/>
  <c r="F68" i="7"/>
  <c r="M67" i="7"/>
  <c r="F67" i="7"/>
  <c r="L62" i="7"/>
  <c r="K62" i="7"/>
  <c r="J62" i="7"/>
  <c r="E62" i="7"/>
  <c r="D62" i="7"/>
  <c r="C62" i="7"/>
  <c r="M61" i="7"/>
  <c r="F61" i="7"/>
  <c r="M60" i="7"/>
  <c r="F60" i="7"/>
  <c r="M59" i="7"/>
  <c r="F59" i="7"/>
  <c r="M58" i="7"/>
  <c r="F58" i="7"/>
  <c r="M57" i="7"/>
  <c r="F57" i="7"/>
  <c r="M56" i="7"/>
  <c r="F56" i="7"/>
  <c r="M55" i="7"/>
  <c r="F55" i="7"/>
  <c r="M54" i="7"/>
  <c r="F54" i="7"/>
  <c r="M53" i="7"/>
  <c r="F53" i="7"/>
  <c r="M52" i="7"/>
  <c r="F52" i="7"/>
  <c r="M51" i="7"/>
  <c r="F51" i="7"/>
  <c r="M50" i="7"/>
  <c r="F50" i="7"/>
  <c r="M49" i="7"/>
  <c r="F49" i="7"/>
  <c r="M48" i="7"/>
  <c r="F48" i="7"/>
  <c r="M47" i="7"/>
  <c r="F47" i="7"/>
  <c r="L42" i="7"/>
  <c r="K42" i="7"/>
  <c r="J42" i="7"/>
  <c r="E42" i="7"/>
  <c r="D42" i="7"/>
  <c r="C42" i="7"/>
  <c r="M41" i="7"/>
  <c r="F41" i="7"/>
  <c r="M40" i="7"/>
  <c r="F40" i="7"/>
  <c r="M39" i="7"/>
  <c r="F39" i="7"/>
  <c r="M38" i="7"/>
  <c r="F38" i="7"/>
  <c r="M37" i="7"/>
  <c r="F37" i="7"/>
  <c r="M36" i="7"/>
  <c r="F36" i="7"/>
  <c r="M35" i="7"/>
  <c r="F35" i="7"/>
  <c r="M34" i="7"/>
  <c r="F34" i="7"/>
  <c r="M33" i="7"/>
  <c r="F33" i="7"/>
  <c r="M32" i="7"/>
  <c r="F32" i="7"/>
  <c r="M31" i="7"/>
  <c r="F31" i="7"/>
  <c r="M30" i="7"/>
  <c r="F30" i="7"/>
  <c r="M29" i="7"/>
  <c r="F29" i="7"/>
  <c r="M28" i="7"/>
  <c r="F28" i="7"/>
  <c r="M27" i="7"/>
  <c r="F27" i="7"/>
  <c r="L22" i="7"/>
  <c r="K22" i="7"/>
  <c r="J22" i="7"/>
  <c r="E22" i="7"/>
  <c r="D22" i="7"/>
  <c r="C22" i="7"/>
  <c r="M21" i="7"/>
  <c r="F21" i="7"/>
  <c r="M20" i="7"/>
  <c r="F20" i="7"/>
  <c r="M19" i="7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F11" i="7"/>
  <c r="M10" i="7"/>
  <c r="F10" i="7"/>
  <c r="M9" i="7"/>
  <c r="F9" i="7"/>
  <c r="M8" i="7"/>
  <c r="F8" i="7"/>
  <c r="M7" i="7"/>
  <c r="F7" i="7"/>
  <c r="L82" i="6"/>
  <c r="K82" i="6"/>
  <c r="J82" i="6"/>
  <c r="E82" i="6"/>
  <c r="D82" i="6"/>
  <c r="C82" i="6"/>
  <c r="M81" i="6"/>
  <c r="F81" i="6"/>
  <c r="M80" i="6"/>
  <c r="F80" i="6"/>
  <c r="M79" i="6"/>
  <c r="F79" i="6"/>
  <c r="M78" i="6"/>
  <c r="F78" i="6"/>
  <c r="M77" i="6"/>
  <c r="F77" i="6"/>
  <c r="M76" i="6"/>
  <c r="F76" i="6"/>
  <c r="M75" i="6"/>
  <c r="F75" i="6"/>
  <c r="M74" i="6"/>
  <c r="F74" i="6"/>
  <c r="M73" i="6"/>
  <c r="F73" i="6"/>
  <c r="M72" i="6"/>
  <c r="F72" i="6"/>
  <c r="M71" i="6"/>
  <c r="F71" i="6"/>
  <c r="M70" i="6"/>
  <c r="F70" i="6"/>
  <c r="M69" i="6"/>
  <c r="F69" i="6"/>
  <c r="M68" i="6"/>
  <c r="F68" i="6"/>
  <c r="M67" i="6"/>
  <c r="F67" i="6"/>
  <c r="L62" i="6"/>
  <c r="K62" i="6"/>
  <c r="J62" i="6"/>
  <c r="E62" i="6"/>
  <c r="D62" i="6"/>
  <c r="C62" i="6"/>
  <c r="M61" i="6"/>
  <c r="F61" i="6"/>
  <c r="M60" i="6"/>
  <c r="F60" i="6"/>
  <c r="M59" i="6"/>
  <c r="F59" i="6"/>
  <c r="M58" i="6"/>
  <c r="F58" i="6"/>
  <c r="M57" i="6"/>
  <c r="F57" i="6"/>
  <c r="M56" i="6"/>
  <c r="F56" i="6"/>
  <c r="M55" i="6"/>
  <c r="F55" i="6"/>
  <c r="M54" i="6"/>
  <c r="F54" i="6"/>
  <c r="M53" i="6"/>
  <c r="F53" i="6"/>
  <c r="M52" i="6"/>
  <c r="F52" i="6"/>
  <c r="M51" i="6"/>
  <c r="F51" i="6"/>
  <c r="M50" i="6"/>
  <c r="F50" i="6"/>
  <c r="M49" i="6"/>
  <c r="F49" i="6"/>
  <c r="M48" i="6"/>
  <c r="F48" i="6"/>
  <c r="M47" i="6"/>
  <c r="F47" i="6"/>
  <c r="L42" i="6"/>
  <c r="K42" i="6"/>
  <c r="J42" i="6"/>
  <c r="E42" i="6"/>
  <c r="D42" i="6"/>
  <c r="C42" i="6"/>
  <c r="M41" i="6"/>
  <c r="F41" i="6"/>
  <c r="M40" i="6"/>
  <c r="F40" i="6"/>
  <c r="M39" i="6"/>
  <c r="F39" i="6"/>
  <c r="M38" i="6"/>
  <c r="F38" i="6"/>
  <c r="M37" i="6"/>
  <c r="F37" i="6"/>
  <c r="M36" i="6"/>
  <c r="F36" i="6"/>
  <c r="M35" i="6"/>
  <c r="F35" i="6"/>
  <c r="M34" i="6"/>
  <c r="F34" i="6"/>
  <c r="M33" i="6"/>
  <c r="F33" i="6"/>
  <c r="M32" i="6"/>
  <c r="F32" i="6"/>
  <c r="M31" i="6"/>
  <c r="F31" i="6"/>
  <c r="M30" i="6"/>
  <c r="F30" i="6"/>
  <c r="M29" i="6"/>
  <c r="F29" i="6"/>
  <c r="M28" i="6"/>
  <c r="F28" i="6"/>
  <c r="M27" i="6"/>
  <c r="F27" i="6"/>
  <c r="L22" i="6"/>
  <c r="K22" i="6"/>
  <c r="J22" i="6"/>
  <c r="E22" i="6"/>
  <c r="D22" i="6"/>
  <c r="C22" i="6"/>
  <c r="M21" i="6"/>
  <c r="F21" i="6"/>
  <c r="M20" i="6"/>
  <c r="F20" i="6"/>
  <c r="M19" i="6"/>
  <c r="F19" i="6"/>
  <c r="M18" i="6"/>
  <c r="F18" i="6"/>
  <c r="M17" i="6"/>
  <c r="F17" i="6"/>
  <c r="M16" i="6"/>
  <c r="F16" i="6"/>
  <c r="M15" i="6"/>
  <c r="F15" i="6"/>
  <c r="M14" i="6"/>
  <c r="F14" i="6"/>
  <c r="M13" i="6"/>
  <c r="F13" i="6"/>
  <c r="M12" i="6"/>
  <c r="F12" i="6"/>
  <c r="M11" i="6"/>
  <c r="F11" i="6"/>
  <c r="M10" i="6"/>
  <c r="F10" i="6"/>
  <c r="M9" i="6"/>
  <c r="F9" i="6"/>
  <c r="M8" i="6"/>
  <c r="F8" i="6"/>
  <c r="M7" i="6"/>
  <c r="F7" i="6"/>
  <c r="L82" i="5"/>
  <c r="K82" i="5"/>
  <c r="J82" i="5"/>
  <c r="E82" i="5"/>
  <c r="D82" i="5"/>
  <c r="C82" i="5"/>
  <c r="M81" i="5"/>
  <c r="F81" i="5"/>
  <c r="M80" i="5"/>
  <c r="F80" i="5"/>
  <c r="M79" i="5"/>
  <c r="F79" i="5"/>
  <c r="M78" i="5"/>
  <c r="F78" i="5"/>
  <c r="M77" i="5"/>
  <c r="F77" i="5"/>
  <c r="M76" i="5"/>
  <c r="F76" i="5"/>
  <c r="M75" i="5"/>
  <c r="F75" i="5"/>
  <c r="M74" i="5"/>
  <c r="F74" i="5"/>
  <c r="M73" i="5"/>
  <c r="F73" i="5"/>
  <c r="M72" i="5"/>
  <c r="F72" i="5"/>
  <c r="M71" i="5"/>
  <c r="F71" i="5"/>
  <c r="M70" i="5"/>
  <c r="F70" i="5"/>
  <c r="M69" i="5"/>
  <c r="F69" i="5"/>
  <c r="M68" i="5"/>
  <c r="F68" i="5"/>
  <c r="M67" i="5"/>
  <c r="F67" i="5"/>
  <c r="L62" i="5"/>
  <c r="K62" i="5"/>
  <c r="J62" i="5"/>
  <c r="E62" i="5"/>
  <c r="D62" i="5"/>
  <c r="C62" i="5"/>
  <c r="M61" i="5"/>
  <c r="F61" i="5"/>
  <c r="M60" i="5"/>
  <c r="F60" i="5"/>
  <c r="M59" i="5"/>
  <c r="F59" i="5"/>
  <c r="M58" i="5"/>
  <c r="F58" i="5"/>
  <c r="M57" i="5"/>
  <c r="F57" i="5"/>
  <c r="M56" i="5"/>
  <c r="F56" i="5"/>
  <c r="M55" i="5"/>
  <c r="F55" i="5"/>
  <c r="M54" i="5"/>
  <c r="F54" i="5"/>
  <c r="M53" i="5"/>
  <c r="F53" i="5"/>
  <c r="M52" i="5"/>
  <c r="F52" i="5"/>
  <c r="M51" i="5"/>
  <c r="F51" i="5"/>
  <c r="M50" i="5"/>
  <c r="F50" i="5"/>
  <c r="M49" i="5"/>
  <c r="F49" i="5"/>
  <c r="M48" i="5"/>
  <c r="F48" i="5"/>
  <c r="M47" i="5"/>
  <c r="F47" i="5"/>
  <c r="L42" i="5"/>
  <c r="K42" i="5"/>
  <c r="J42" i="5"/>
  <c r="E42" i="5"/>
  <c r="D42" i="5"/>
  <c r="C42" i="5"/>
  <c r="M41" i="5"/>
  <c r="F41" i="5"/>
  <c r="M40" i="5"/>
  <c r="F40" i="5"/>
  <c r="M39" i="5"/>
  <c r="F39" i="5"/>
  <c r="M38" i="5"/>
  <c r="F38" i="5"/>
  <c r="M37" i="5"/>
  <c r="F37" i="5"/>
  <c r="M36" i="5"/>
  <c r="F36" i="5"/>
  <c r="M35" i="5"/>
  <c r="F35" i="5"/>
  <c r="M34" i="5"/>
  <c r="F34" i="5"/>
  <c r="M33" i="5"/>
  <c r="F33" i="5"/>
  <c r="M32" i="5"/>
  <c r="F32" i="5"/>
  <c r="M31" i="5"/>
  <c r="F31" i="5"/>
  <c r="M30" i="5"/>
  <c r="F30" i="5"/>
  <c r="M29" i="5"/>
  <c r="F29" i="5"/>
  <c r="M28" i="5"/>
  <c r="F28" i="5"/>
  <c r="M27" i="5"/>
  <c r="F27" i="5"/>
  <c r="L22" i="5"/>
  <c r="K22" i="5"/>
  <c r="J22" i="5"/>
  <c r="E22" i="5"/>
  <c r="D22" i="5"/>
  <c r="C22" i="5"/>
  <c r="M21" i="5"/>
  <c r="F21" i="5"/>
  <c r="M20" i="5"/>
  <c r="F20" i="5"/>
  <c r="M19" i="5"/>
  <c r="F19" i="5"/>
  <c r="M18" i="5"/>
  <c r="F18" i="5"/>
  <c r="M17" i="5"/>
  <c r="F17" i="5"/>
  <c r="M16" i="5"/>
  <c r="F16" i="5"/>
  <c r="M15" i="5"/>
  <c r="F15" i="5"/>
  <c r="M14" i="5"/>
  <c r="F14" i="5"/>
  <c r="M13" i="5"/>
  <c r="F13" i="5"/>
  <c r="M12" i="5"/>
  <c r="F12" i="5"/>
  <c r="M11" i="5"/>
  <c r="F11" i="5"/>
  <c r="M10" i="5"/>
  <c r="F10" i="5"/>
  <c r="M9" i="5"/>
  <c r="F9" i="5"/>
  <c r="M8" i="5"/>
  <c r="F8" i="5"/>
  <c r="M7" i="5"/>
  <c r="F7" i="5"/>
  <c r="E86" i="4"/>
  <c r="D86" i="4"/>
  <c r="M82" i="4"/>
  <c r="L82" i="4"/>
  <c r="K82" i="4"/>
  <c r="J82" i="4"/>
  <c r="F82" i="4"/>
  <c r="E82" i="4"/>
  <c r="D82" i="4"/>
  <c r="C82" i="4"/>
  <c r="M81" i="4"/>
  <c r="F81" i="4"/>
  <c r="M80" i="4"/>
  <c r="F80" i="4"/>
  <c r="M79" i="4"/>
  <c r="F79" i="4"/>
  <c r="M78" i="4"/>
  <c r="F78" i="4"/>
  <c r="M77" i="4"/>
  <c r="F77" i="4"/>
  <c r="M76" i="4"/>
  <c r="F76" i="4"/>
  <c r="M75" i="4"/>
  <c r="F75" i="4"/>
  <c r="M74" i="4"/>
  <c r="F74" i="4"/>
  <c r="M73" i="4"/>
  <c r="F73" i="4"/>
  <c r="M72" i="4"/>
  <c r="F72" i="4"/>
  <c r="M71" i="4"/>
  <c r="F71" i="4"/>
  <c r="M70" i="4"/>
  <c r="F70" i="4"/>
  <c r="M69" i="4"/>
  <c r="F69" i="4"/>
  <c r="M68" i="4"/>
  <c r="F68" i="4"/>
  <c r="M67" i="4"/>
  <c r="F67" i="4"/>
  <c r="L62" i="4"/>
  <c r="K62" i="4"/>
  <c r="J62" i="4"/>
  <c r="E62" i="4"/>
  <c r="D62" i="4"/>
  <c r="C62" i="4"/>
  <c r="M61" i="4"/>
  <c r="F61" i="4"/>
  <c r="M60" i="4"/>
  <c r="F60" i="4"/>
  <c r="M59" i="4"/>
  <c r="F59" i="4"/>
  <c r="M58" i="4"/>
  <c r="F58" i="4"/>
  <c r="M57" i="4"/>
  <c r="F57" i="4"/>
  <c r="M56" i="4"/>
  <c r="F56" i="4"/>
  <c r="M55" i="4"/>
  <c r="F55" i="4"/>
  <c r="M54" i="4"/>
  <c r="F54" i="4"/>
  <c r="M53" i="4"/>
  <c r="F53" i="4"/>
  <c r="M52" i="4"/>
  <c r="F52" i="4"/>
  <c r="M51" i="4"/>
  <c r="F51" i="4"/>
  <c r="M50" i="4"/>
  <c r="F50" i="4"/>
  <c r="M49" i="4"/>
  <c r="F49" i="4"/>
  <c r="M48" i="4"/>
  <c r="F48" i="4"/>
  <c r="M47" i="4"/>
  <c r="F47" i="4"/>
  <c r="L42" i="4"/>
  <c r="K42" i="4"/>
  <c r="J42" i="4"/>
  <c r="E42" i="4"/>
  <c r="D42" i="4"/>
  <c r="C42" i="4"/>
  <c r="M41" i="4"/>
  <c r="F41" i="4"/>
  <c r="M40" i="4"/>
  <c r="F40" i="4"/>
  <c r="M39" i="4"/>
  <c r="F39" i="4"/>
  <c r="M38" i="4"/>
  <c r="F38" i="4"/>
  <c r="M37" i="4"/>
  <c r="F37" i="4"/>
  <c r="M36" i="4"/>
  <c r="F36" i="4"/>
  <c r="M35" i="4"/>
  <c r="F35" i="4"/>
  <c r="M34" i="4"/>
  <c r="F34" i="4"/>
  <c r="M33" i="4"/>
  <c r="F33" i="4"/>
  <c r="M32" i="4"/>
  <c r="F32" i="4"/>
  <c r="M31" i="4"/>
  <c r="F31" i="4"/>
  <c r="M30" i="4"/>
  <c r="F30" i="4"/>
  <c r="M29" i="4"/>
  <c r="F29" i="4"/>
  <c r="M28" i="4"/>
  <c r="F28" i="4"/>
  <c r="M27" i="4"/>
  <c r="F27" i="4"/>
  <c r="L22" i="4"/>
  <c r="K22" i="4"/>
  <c r="J22" i="4"/>
  <c r="E22" i="4"/>
  <c r="D22" i="4"/>
  <c r="C22" i="4"/>
  <c r="M21" i="4"/>
  <c r="F21" i="4"/>
  <c r="M20" i="4"/>
  <c r="F20" i="4"/>
  <c r="M19" i="4"/>
  <c r="F19" i="4"/>
  <c r="M18" i="4"/>
  <c r="F18" i="4"/>
  <c r="M17" i="4"/>
  <c r="F17" i="4"/>
  <c r="M16" i="4"/>
  <c r="F16" i="4"/>
  <c r="M15" i="4"/>
  <c r="F15" i="4"/>
  <c r="M14" i="4"/>
  <c r="F14" i="4"/>
  <c r="M13" i="4"/>
  <c r="F13" i="4"/>
  <c r="M12" i="4"/>
  <c r="F12" i="4"/>
  <c r="M11" i="4"/>
  <c r="F11" i="4"/>
  <c r="M10" i="4"/>
  <c r="F10" i="4"/>
  <c r="M9" i="4"/>
  <c r="F9" i="4"/>
  <c r="M8" i="4"/>
  <c r="F8" i="4"/>
  <c r="M7" i="4"/>
  <c r="F7" i="4"/>
  <c r="L82" i="3"/>
  <c r="K82" i="3"/>
  <c r="J82" i="3"/>
  <c r="E82" i="3"/>
  <c r="D82" i="3"/>
  <c r="C82" i="3"/>
  <c r="M81" i="3"/>
  <c r="F81" i="3"/>
  <c r="M80" i="3"/>
  <c r="F80" i="3"/>
  <c r="M79" i="3"/>
  <c r="F79" i="3"/>
  <c r="M78" i="3"/>
  <c r="F78" i="3"/>
  <c r="M77" i="3"/>
  <c r="F77" i="3"/>
  <c r="M76" i="3"/>
  <c r="F76" i="3"/>
  <c r="M75" i="3"/>
  <c r="F75" i="3"/>
  <c r="M74" i="3"/>
  <c r="F74" i="3"/>
  <c r="M73" i="3"/>
  <c r="F73" i="3"/>
  <c r="M72" i="3"/>
  <c r="F72" i="3"/>
  <c r="M71" i="3"/>
  <c r="F71" i="3"/>
  <c r="M70" i="3"/>
  <c r="F70" i="3"/>
  <c r="M69" i="3"/>
  <c r="F69" i="3"/>
  <c r="M68" i="3"/>
  <c r="F68" i="3"/>
  <c r="M67" i="3"/>
  <c r="F67" i="3"/>
  <c r="L62" i="3"/>
  <c r="K62" i="3"/>
  <c r="J62" i="3"/>
  <c r="E62" i="3"/>
  <c r="D62" i="3"/>
  <c r="C62" i="3"/>
  <c r="M61" i="3"/>
  <c r="F61" i="3"/>
  <c r="M60" i="3"/>
  <c r="F60" i="3"/>
  <c r="M59" i="3"/>
  <c r="F59" i="3"/>
  <c r="M58" i="3"/>
  <c r="F58" i="3"/>
  <c r="M57" i="3"/>
  <c r="F57" i="3"/>
  <c r="M56" i="3"/>
  <c r="F56" i="3"/>
  <c r="M55" i="3"/>
  <c r="F55" i="3"/>
  <c r="M54" i="3"/>
  <c r="F54" i="3"/>
  <c r="M53" i="3"/>
  <c r="F53" i="3"/>
  <c r="M52" i="3"/>
  <c r="F52" i="3"/>
  <c r="M51" i="3"/>
  <c r="F51" i="3"/>
  <c r="M50" i="3"/>
  <c r="F50" i="3"/>
  <c r="M49" i="3"/>
  <c r="F49" i="3"/>
  <c r="M48" i="3"/>
  <c r="F48" i="3"/>
  <c r="M47" i="3"/>
  <c r="F47" i="3"/>
  <c r="L42" i="3"/>
  <c r="K42" i="3"/>
  <c r="J42" i="3"/>
  <c r="E42" i="3"/>
  <c r="D42" i="3"/>
  <c r="C42" i="3"/>
  <c r="M41" i="3"/>
  <c r="F41" i="3"/>
  <c r="M40" i="3"/>
  <c r="F40" i="3"/>
  <c r="M39" i="3"/>
  <c r="F39" i="3"/>
  <c r="M38" i="3"/>
  <c r="F38" i="3"/>
  <c r="M37" i="3"/>
  <c r="F37" i="3"/>
  <c r="M36" i="3"/>
  <c r="F36" i="3"/>
  <c r="M35" i="3"/>
  <c r="F35" i="3"/>
  <c r="M34" i="3"/>
  <c r="F34" i="3"/>
  <c r="M33" i="3"/>
  <c r="F33" i="3"/>
  <c r="M32" i="3"/>
  <c r="F32" i="3"/>
  <c r="M31" i="3"/>
  <c r="F31" i="3"/>
  <c r="M30" i="3"/>
  <c r="F30" i="3"/>
  <c r="M29" i="3"/>
  <c r="F29" i="3"/>
  <c r="M28" i="3"/>
  <c r="F28" i="3"/>
  <c r="M27" i="3"/>
  <c r="F27" i="3"/>
  <c r="L22" i="3"/>
  <c r="K22" i="3"/>
  <c r="J22" i="3"/>
  <c r="E22" i="3"/>
  <c r="D22" i="3"/>
  <c r="C22" i="3"/>
  <c r="M21" i="3"/>
  <c r="F21" i="3"/>
  <c r="M20" i="3"/>
  <c r="F20" i="3"/>
  <c r="M19" i="3"/>
  <c r="F19" i="3"/>
  <c r="M18" i="3"/>
  <c r="F18" i="3"/>
  <c r="M17" i="3"/>
  <c r="F17" i="3"/>
  <c r="M16" i="3"/>
  <c r="F16" i="3"/>
  <c r="M15" i="3"/>
  <c r="F15" i="3"/>
  <c r="M14" i="3"/>
  <c r="F14" i="3"/>
  <c r="M13" i="3"/>
  <c r="F13" i="3"/>
  <c r="M12" i="3"/>
  <c r="F12" i="3"/>
  <c r="M11" i="3"/>
  <c r="F11" i="3"/>
  <c r="M10" i="3"/>
  <c r="F10" i="3"/>
  <c r="M9" i="3"/>
  <c r="F9" i="3"/>
  <c r="M8" i="3"/>
  <c r="F8" i="3"/>
  <c r="M7" i="3"/>
  <c r="F7" i="3"/>
  <c r="L82" i="2"/>
  <c r="K82" i="2"/>
  <c r="J82" i="2"/>
  <c r="E82" i="2"/>
  <c r="D82" i="2"/>
  <c r="C82" i="2"/>
  <c r="M81" i="2"/>
  <c r="F81" i="2"/>
  <c r="M80" i="2"/>
  <c r="F80" i="2"/>
  <c r="M79" i="2"/>
  <c r="F79" i="2"/>
  <c r="M78" i="2"/>
  <c r="F78" i="2"/>
  <c r="M77" i="2"/>
  <c r="F77" i="2"/>
  <c r="M76" i="2"/>
  <c r="F76" i="2"/>
  <c r="M75" i="2"/>
  <c r="F75" i="2"/>
  <c r="M74" i="2"/>
  <c r="F74" i="2"/>
  <c r="M73" i="2"/>
  <c r="F73" i="2"/>
  <c r="M72" i="2"/>
  <c r="F72" i="2"/>
  <c r="M71" i="2"/>
  <c r="F71" i="2"/>
  <c r="M70" i="2"/>
  <c r="F70" i="2"/>
  <c r="M69" i="2"/>
  <c r="F69" i="2"/>
  <c r="M68" i="2"/>
  <c r="F68" i="2"/>
  <c r="M67" i="2"/>
  <c r="F67" i="2"/>
  <c r="L62" i="2"/>
  <c r="K62" i="2"/>
  <c r="J62" i="2"/>
  <c r="E62" i="2"/>
  <c r="D62" i="2"/>
  <c r="C62" i="2"/>
  <c r="M61" i="2"/>
  <c r="F61" i="2"/>
  <c r="M60" i="2"/>
  <c r="F60" i="2"/>
  <c r="M59" i="2"/>
  <c r="F59" i="2"/>
  <c r="M58" i="2"/>
  <c r="F58" i="2"/>
  <c r="M57" i="2"/>
  <c r="F57" i="2"/>
  <c r="M56" i="2"/>
  <c r="F56" i="2"/>
  <c r="M55" i="2"/>
  <c r="F55" i="2"/>
  <c r="M54" i="2"/>
  <c r="F54" i="2"/>
  <c r="M53" i="2"/>
  <c r="F53" i="2"/>
  <c r="M52" i="2"/>
  <c r="F52" i="2"/>
  <c r="M51" i="2"/>
  <c r="F51" i="2"/>
  <c r="M50" i="2"/>
  <c r="F50" i="2"/>
  <c r="M49" i="2"/>
  <c r="F49" i="2"/>
  <c r="M48" i="2"/>
  <c r="F48" i="2"/>
  <c r="M47" i="2"/>
  <c r="F47" i="2"/>
  <c r="L42" i="2"/>
  <c r="K42" i="2"/>
  <c r="J42" i="2"/>
  <c r="E42" i="2"/>
  <c r="D42" i="2"/>
  <c r="C42" i="2"/>
  <c r="M41" i="2"/>
  <c r="F41" i="2"/>
  <c r="M40" i="2"/>
  <c r="F40" i="2"/>
  <c r="M39" i="2"/>
  <c r="F39" i="2"/>
  <c r="M38" i="2"/>
  <c r="F38" i="2"/>
  <c r="M37" i="2"/>
  <c r="F37" i="2"/>
  <c r="M36" i="2"/>
  <c r="F36" i="2"/>
  <c r="M35" i="2"/>
  <c r="F35" i="2"/>
  <c r="M34" i="2"/>
  <c r="F34" i="2"/>
  <c r="M33" i="2"/>
  <c r="F33" i="2"/>
  <c r="M32" i="2"/>
  <c r="F32" i="2"/>
  <c r="M31" i="2"/>
  <c r="F31" i="2"/>
  <c r="M30" i="2"/>
  <c r="F30" i="2"/>
  <c r="M29" i="2"/>
  <c r="F29" i="2"/>
  <c r="M28" i="2"/>
  <c r="F28" i="2"/>
  <c r="M27" i="2"/>
  <c r="F27" i="2"/>
  <c r="L22" i="2"/>
  <c r="K22" i="2"/>
  <c r="J22" i="2"/>
  <c r="E22" i="2"/>
  <c r="D22" i="2"/>
  <c r="C22" i="2"/>
  <c r="M21" i="2"/>
  <c r="F21" i="2"/>
  <c r="M20" i="2"/>
  <c r="F20" i="2"/>
  <c r="M19" i="2"/>
  <c r="F19" i="2"/>
  <c r="M18" i="2"/>
  <c r="F18" i="2"/>
  <c r="M17" i="2"/>
  <c r="F17" i="2"/>
  <c r="M16" i="2"/>
  <c r="F16" i="2"/>
  <c r="M15" i="2"/>
  <c r="F15" i="2"/>
  <c r="M14" i="2"/>
  <c r="F14" i="2"/>
  <c r="M13" i="2"/>
  <c r="F13" i="2"/>
  <c r="M12" i="2"/>
  <c r="F12" i="2"/>
  <c r="M11" i="2"/>
  <c r="F11" i="2"/>
  <c r="M10" i="2"/>
  <c r="F10" i="2"/>
  <c r="M9" i="2"/>
  <c r="F9" i="2"/>
  <c r="M8" i="2"/>
  <c r="F8" i="2"/>
  <c r="M7" i="2"/>
  <c r="F7" i="2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D88" i="9" l="1"/>
  <c r="E87" i="11"/>
  <c r="F86" i="11"/>
  <c r="F88" i="11" s="1"/>
  <c r="D5" i="13" s="1"/>
  <c r="D86" i="11"/>
  <c r="D88" i="11" s="1"/>
  <c r="M42" i="11"/>
  <c r="F42" i="11"/>
  <c r="F22" i="11"/>
  <c r="E87" i="10"/>
  <c r="D87" i="10"/>
  <c r="F86" i="10"/>
  <c r="F88" i="10" s="1"/>
  <c r="D13" i="13" s="1"/>
  <c r="D86" i="10"/>
  <c r="D88" i="10" s="1"/>
  <c r="B13" i="13" s="1"/>
  <c r="M82" i="10"/>
  <c r="F82" i="10"/>
  <c r="M22" i="10"/>
  <c r="F22" i="10"/>
  <c r="F87" i="9"/>
  <c r="D87" i="9"/>
  <c r="F86" i="9"/>
  <c r="F88" i="9" s="1"/>
  <c r="D9" i="13" s="1"/>
  <c r="E86" i="9"/>
  <c r="M82" i="9"/>
  <c r="F82" i="9"/>
  <c r="M62" i="9"/>
  <c r="F42" i="9"/>
  <c r="E86" i="8"/>
  <c r="D86" i="7"/>
  <c r="F62" i="7"/>
  <c r="F42" i="7"/>
  <c r="F87" i="6"/>
  <c r="F86" i="6"/>
  <c r="F88" i="6" s="1"/>
  <c r="M42" i="6"/>
  <c r="F42" i="6"/>
  <c r="F87" i="5"/>
  <c r="F86" i="5"/>
  <c r="F88" i="5" s="1"/>
  <c r="D14" i="13" s="1"/>
  <c r="M42" i="5"/>
  <c r="F42" i="5"/>
  <c r="F86" i="4"/>
  <c r="M62" i="10"/>
  <c r="M62" i="7"/>
  <c r="M62" i="4"/>
  <c r="F62" i="4"/>
  <c r="M42" i="4"/>
  <c r="F42" i="4"/>
  <c r="M22" i="4"/>
  <c r="F22" i="4"/>
  <c r="F87" i="3"/>
  <c r="E87" i="3"/>
  <c r="D87" i="3"/>
  <c r="F86" i="3"/>
  <c r="F88" i="3" s="1"/>
  <c r="D11" i="13" s="1"/>
  <c r="E86" i="3"/>
  <c r="D86" i="3"/>
  <c r="D88" i="3" s="1"/>
  <c r="B11" i="13" s="1"/>
  <c r="M82" i="3"/>
  <c r="F82" i="3"/>
  <c r="M62" i="3"/>
  <c r="F62" i="3"/>
  <c r="M42" i="3"/>
  <c r="F42" i="3"/>
  <c r="D88" i="4"/>
  <c r="B10" i="13" s="1"/>
  <c r="M22" i="3"/>
  <c r="F22" i="3"/>
  <c r="F87" i="2"/>
  <c r="E87" i="2"/>
  <c r="D87" i="2"/>
  <c r="F86" i="2"/>
  <c r="F88" i="2" s="1"/>
  <c r="D8" i="13" s="1"/>
  <c r="E86" i="2"/>
  <c r="D86" i="2"/>
  <c r="D88" i="2" s="1"/>
  <c r="B8" i="13" s="1"/>
  <c r="M82" i="2"/>
  <c r="F82" i="2"/>
  <c r="M62" i="2"/>
  <c r="F62" i="2"/>
  <c r="M42" i="2"/>
  <c r="F42" i="2"/>
  <c r="M22" i="2"/>
  <c r="F22" i="2"/>
  <c r="M22" i="9"/>
  <c r="F22" i="9"/>
  <c r="E87" i="8"/>
  <c r="F86" i="8"/>
  <c r="F88" i="8" s="1"/>
  <c r="D6" i="13" s="1"/>
  <c r="M42" i="8"/>
  <c r="F42" i="8"/>
  <c r="E87" i="7"/>
  <c r="F86" i="7"/>
  <c r="F88" i="7" s="1"/>
  <c r="D12" i="13" s="1"/>
  <c r="M22" i="7"/>
  <c r="F22" i="7"/>
  <c r="M82" i="6"/>
  <c r="M62" i="6"/>
  <c r="F62" i="6"/>
  <c r="D86" i="5"/>
  <c r="D88" i="5" s="1"/>
  <c r="B14" i="13" s="1"/>
  <c r="D87" i="4"/>
  <c r="F62" i="9"/>
  <c r="D87" i="8"/>
  <c r="M82" i="8"/>
  <c r="M62" i="8"/>
  <c r="F62" i="8"/>
  <c r="D87" i="7"/>
  <c r="E86" i="7"/>
  <c r="D87" i="6"/>
  <c r="D86" i="6"/>
  <c r="D88" i="6" s="1"/>
  <c r="B7" i="13" s="1"/>
  <c r="F82" i="6"/>
  <c r="M22" i="6"/>
  <c r="F22" i="6"/>
  <c r="E87" i="5"/>
  <c r="E86" i="5"/>
  <c r="F87" i="4"/>
  <c r="G86" i="4"/>
  <c r="F87" i="11"/>
  <c r="D87" i="11"/>
  <c r="E86" i="11"/>
  <c r="M82" i="11"/>
  <c r="F82" i="11"/>
  <c r="M62" i="11"/>
  <c r="F62" i="11"/>
  <c r="M22" i="11"/>
  <c r="F87" i="10"/>
  <c r="E86" i="10"/>
  <c r="F62" i="10"/>
  <c r="M42" i="10"/>
  <c r="F42" i="10"/>
  <c r="E87" i="9"/>
  <c r="M42" i="9"/>
  <c r="F87" i="8"/>
  <c r="D86" i="8"/>
  <c r="D88" i="8" s="1"/>
  <c r="B6" i="13" s="1"/>
  <c r="F82" i="8"/>
  <c r="M22" i="8"/>
  <c r="F22" i="8"/>
  <c r="F87" i="7"/>
  <c r="M82" i="7"/>
  <c r="F82" i="7"/>
  <c r="M42" i="7"/>
  <c r="E87" i="6"/>
  <c r="E86" i="6"/>
  <c r="D87" i="5"/>
  <c r="M82" i="5"/>
  <c r="F82" i="5"/>
  <c r="M62" i="5"/>
  <c r="F62" i="5"/>
  <c r="M22" i="5"/>
  <c r="F22" i="5"/>
  <c r="E87" i="4"/>
  <c r="B9" i="13" l="1"/>
  <c r="G87" i="11"/>
  <c r="H87" i="11"/>
  <c r="G87" i="10"/>
  <c r="H87" i="10"/>
  <c r="G86" i="9"/>
  <c r="E88" i="9"/>
  <c r="C9" i="13" s="1"/>
  <c r="G86" i="8"/>
  <c r="H86" i="8"/>
  <c r="H88" i="8" s="1"/>
  <c r="F6" i="13" s="1"/>
  <c r="E88" i="8"/>
  <c r="C6" i="13" s="1"/>
  <c r="G87" i="3"/>
  <c r="H87" i="3"/>
  <c r="G86" i="3"/>
  <c r="G88" i="3" s="1"/>
  <c r="E11" i="13" s="1"/>
  <c r="H86" i="3"/>
  <c r="H88" i="3" s="1"/>
  <c r="F11" i="13" s="1"/>
  <c r="E88" i="3"/>
  <c r="C11" i="13" s="1"/>
  <c r="G87" i="2"/>
  <c r="H87" i="2"/>
  <c r="G86" i="2"/>
  <c r="G88" i="2" s="1"/>
  <c r="E8" i="13" s="1"/>
  <c r="H86" i="2"/>
  <c r="H88" i="2" s="1"/>
  <c r="F8" i="13" s="1"/>
  <c r="E88" i="2"/>
  <c r="C8" i="13" s="1"/>
  <c r="G87" i="8"/>
  <c r="H87" i="8"/>
  <c r="G87" i="7"/>
  <c r="G86" i="7"/>
  <c r="G88" i="7" s="1"/>
  <c r="E12" i="13" s="1"/>
  <c r="E88" i="7"/>
  <c r="C12" i="13" s="1"/>
  <c r="G87" i="5"/>
  <c r="G86" i="5"/>
  <c r="G88" i="5" s="1"/>
  <c r="E88" i="5"/>
  <c r="C14" i="13" s="1"/>
  <c r="G86" i="11"/>
  <c r="G88" i="11" s="1"/>
  <c r="E5" i="13" s="1"/>
  <c r="E88" i="11"/>
  <c r="C5" i="13" s="1"/>
  <c r="G86" i="10"/>
  <c r="G88" i="10" s="1"/>
  <c r="E13" i="13" s="1"/>
  <c r="H86" i="10"/>
  <c r="H88" i="10" s="1"/>
  <c r="F13" i="13" s="1"/>
  <c r="E88" i="10"/>
  <c r="C13" i="13" s="1"/>
  <c r="G87" i="9"/>
  <c r="H87" i="9"/>
  <c r="G87" i="6"/>
  <c r="H87" i="6"/>
  <c r="G86" i="6"/>
  <c r="G88" i="6" s="1"/>
  <c r="E7" i="13" s="1"/>
  <c r="E88" i="6"/>
  <c r="C7" i="13" s="1"/>
  <c r="H86" i="6"/>
  <c r="H88" i="6" s="1"/>
  <c r="F7" i="13" s="1"/>
  <c r="G87" i="4"/>
  <c r="G88" i="4" s="1"/>
  <c r="E10" i="13" s="1"/>
  <c r="D88" i="7"/>
  <c r="B12" i="13" s="1"/>
  <c r="H86" i="4"/>
  <c r="F88" i="4"/>
  <c r="D10" i="13" s="1"/>
  <c r="E88" i="4"/>
  <c r="C10" i="13" s="1"/>
  <c r="D7" i="13"/>
  <c r="H86" i="7" l="1"/>
  <c r="H87" i="5"/>
  <c r="H86" i="5"/>
  <c r="H88" i="5" s="1"/>
  <c r="H87" i="7"/>
  <c r="H87" i="4"/>
  <c r="H88" i="4" s="1"/>
  <c r="F10" i="13" s="1"/>
  <c r="H86" i="11"/>
  <c r="H88" i="11" s="1"/>
  <c r="F5" i="13" s="1"/>
  <c r="H86" i="9"/>
  <c r="H88" i="9" s="1"/>
  <c r="F9" i="13" s="1"/>
  <c r="G88" i="9"/>
  <c r="E9" i="13" s="1"/>
  <c r="G88" i="8"/>
  <c r="E6" i="13" s="1"/>
  <c r="H88" i="7" l="1"/>
  <c r="F12" i="13" s="1"/>
</calcChain>
</file>

<file path=xl/sharedStrings.xml><?xml version="1.0" encoding="utf-8"?>
<sst xmlns="http://schemas.openxmlformats.org/spreadsheetml/2006/main" count="3328" uniqueCount="125">
  <si>
    <t>NBFC SECTOR BACKTESTING PROJECT</t>
  </si>
  <si>
    <t>Comprehensive Strategy Performance Analysis  |  FY 2025–26</t>
  </si>
  <si>
    <t>Submitted By</t>
  </si>
  <si>
    <t>Vishv Jeet Singh Thakur</t>
  </si>
  <si>
    <t>Submitted To</t>
  </si>
  <si>
    <t>College</t>
  </si>
  <si>
    <t>UPES</t>
  </si>
  <si>
    <t>Branch</t>
  </si>
  <si>
    <t>MBA in Strategic Financial Management in collaboration with EY</t>
  </si>
  <si>
    <t>Sector Allocated</t>
  </si>
  <si>
    <t>NBFC – General</t>
  </si>
  <si>
    <t>NBFC Sector – Company Reference List  |  FY 2025–26  |  Date: 26 June 2026</t>
  </si>
  <si>
    <t>Company Name</t>
  </si>
  <si>
    <t>Trading Symbol</t>
  </si>
  <si>
    <t>Official Category</t>
  </si>
  <si>
    <t>Market Cap (₹ Cr)</t>
  </si>
  <si>
    <t>Aavas Financiers</t>
  </si>
  <si>
    <t>AAVAS</t>
  </si>
  <si>
    <t>Home First Finance Company India</t>
  </si>
  <si>
    <t>HOMEFIRST</t>
  </si>
  <si>
    <t>Five-Star Business Finance</t>
  </si>
  <si>
    <t>FIVESTAR</t>
  </si>
  <si>
    <t>IIFL Finance</t>
  </si>
  <si>
    <t>IIFL</t>
  </si>
  <si>
    <t>Manappuram Finance</t>
  </si>
  <si>
    <t>MANAPPURAM</t>
  </si>
  <si>
    <t>LIC Housing Finance</t>
  </si>
  <si>
    <t>LICHSGFIN</t>
  </si>
  <si>
    <t>Poonawalla Fincorp</t>
  </si>
  <si>
    <t>POONAWALLA</t>
  </si>
  <si>
    <t>Mahindra &amp; Mahindra Financial Services</t>
  </si>
  <si>
    <t>M&amp;MFIN</t>
  </si>
  <si>
    <t>Sundaram Finance</t>
  </si>
  <si>
    <t>SUNDARMFIN</t>
  </si>
  <si>
    <t>L&amp;T Finance</t>
  </si>
  <si>
    <t>LTF</t>
  </si>
  <si>
    <t>Aditya Birla Capital</t>
  </si>
  <si>
    <t>ABCAPITAL</t>
  </si>
  <si>
    <t>Muthoot Finance</t>
  </si>
  <si>
    <t>MUTHOOTFIN</t>
  </si>
  <si>
    <t>Cholamandalam Investment and Finance Company</t>
  </si>
  <si>
    <t>CHOLAFIN</t>
  </si>
  <si>
    <t>Shriram Finance</t>
  </si>
  <si>
    <t>SHRIRAMFIN</t>
  </si>
  <si>
    <t>Bajaj Finance</t>
  </si>
  <si>
    <t>BAJFINANCE</t>
  </si>
  <si>
    <t>Sector Average</t>
  </si>
  <si>
    <t>📌  Note: Mid Cap = Market Cap &lt; ₹20,000 Cr  |  Large Cap = Market Cap ≥ ₹20,000 Cr  |  Companies sorted by ascending market capitalization</t>
  </si>
  <si>
    <t>NBFC – General Sector | Backtesting Report</t>
  </si>
  <si>
    <t>Student: Vishv Jeet Singh Thakur |  Institution: UPES  |  Strategy: VWAP Intraday (5-Minute) | Time: 9:15 AM – 3:00 PM | Financial Year: FY 2025–26</t>
  </si>
  <si>
    <t>Q1 (Quarter 1): April 1, 2025 – June 30, 2025</t>
  </si>
  <si>
    <t>BUY / LONG CALL SIDE</t>
  </si>
  <si>
    <t>SELL / SHORT CALL SIDE</t>
  </si>
  <si>
    <t>Segment</t>
  </si>
  <si>
    <t>P&amp;L (₹)</t>
  </si>
  <si>
    <t>Wins</t>
  </si>
  <si>
    <t>Losses</t>
  </si>
  <si>
    <t>Total Trades</t>
  </si>
  <si>
    <t>NSE</t>
  </si>
  <si>
    <t>TOTAL</t>
  </si>
  <si>
    <t>Q2 (Quarter 2): July 2, 2025 – September 30, 2025</t>
  </si>
  <si>
    <t>Q3 (Quarter 3): October 2, 2025 – December 31, 2025</t>
  </si>
  <si>
    <t>Q4 (Quarter 4): January 1, 2026 – March 31, 2026</t>
  </si>
  <si>
    <t>FINANCIAL YEAR SUMMARY — FY 2025–26</t>
  </si>
  <si>
    <t>Metric</t>
  </si>
  <si>
    <t>Win Rate %</t>
  </si>
  <si>
    <t>Buy Side – Full Year</t>
  </si>
  <si>
    <t>Sell Side – Full Year</t>
  </si>
  <si>
    <t>Combined Net P&amp;L – FY 2025–26</t>
  </si>
  <si>
    <t>📌  Note:  Green = Profit  |  Red = Loss  |  All P&amp;L figures in Indian Rupees (₹)  |  Win Rate = Wins ÷ Total Trades</t>
  </si>
  <si>
    <t>Student: Vishv Jeet Singh Thakur  |  Institution: UPES  |  Strategy: SuperTrend Intraday (5-Minute)  |  Time: 9:15 AM – 3:00 PM  |  FY 2025–26</t>
  </si>
  <si>
    <t>Student: Vishv Jeet Singh Thakur  |  Institution: UPES  |  Strategy: Moving Average (MA) Intraday (5-Minute)  |  Time: 9:15 AM – 3:00 PM  |  FY 2025–26</t>
  </si>
  <si>
    <t>Student: Vishv Jeet Singh Thakur  |  Institution: UPES  |  Strategy: MACD Intraday (5-Minute)  |  Time: 9:15 AM – 3:00 PM  |  FY 2025–26</t>
  </si>
  <si>
    <t>Student: Vishv Jeet Singh Thakur  |  Institution: UPES  |  Strategy: RSI Intraday (5-Minute)  |  Time: 9:15 AM – 3:00 PM  |  FY 2025–26</t>
  </si>
  <si>
    <t>Student: Vishv Jeet Singh Thakur  |  Institution: UPES  |  Strategy: Stochastic RSI Intraday (5-Minute)  |  Time: 9:15 AM – 3:00 PM  |  FY 2025–26</t>
  </si>
  <si>
    <t>Student: Vishv Jeet Singh Thakur  |  Institution: UPES  |  Strategy: Bollinger Bands (BB) Intraday (5-Minute)  |  Time: 9:15 AM – 3:00 PM  |  FY 2025–26</t>
  </si>
  <si>
    <t>Student: Vishv Jeet Singh Thakur  |  Institution: UPES  |  Strategy: Awesome Oscillator (AO) Intraday (5-Minute)  |  Time: 9:15 AM – 3:00 PM  |  FY 2025–26</t>
  </si>
  <si>
    <t>Student: Vishv Jeet Singh Thakur  |  Institution: UPES  |  Strategy: Pivort Point Strandard (PPS) Intraday (5-Minute)  |  Time: 9:15 AM – 3:00 PM  |  FY 2025–26</t>
  </si>
  <si>
    <t>NBFC SECTOR — STRATEGY PERFORMANCE LEADERBOARD</t>
  </si>
  <si>
    <t>FY 2025–26  |  All 10 Strategies Ranked by Net P&amp;L  |  15 NBFC Stocks, 5-Minute Intraday</t>
  </si>
  <si>
    <t>Strategy</t>
  </si>
  <si>
    <t>Rank</t>
  </si>
  <si>
    <t>Alligator</t>
  </si>
  <si>
    <t>BB</t>
  </si>
  <si>
    <t>RSI</t>
  </si>
  <si>
    <t>Vwap</t>
  </si>
  <si>
    <t>AO</t>
  </si>
  <si>
    <t>MA</t>
  </si>
  <si>
    <t>SuperTrend</t>
  </si>
  <si>
    <t>Stochastic RSI</t>
  </si>
  <si>
    <t>Pivot PS</t>
  </si>
  <si>
    <t>MACD</t>
  </si>
  <si>
    <t>KEY TAKEAWAYS FROM THE MATRIX</t>
  </si>
  <si>
    <t>💡  The Illusion of Win Rate:  MA had the highest win rate (44.44%), but it ranks well below the top despite trading less frequently and likely securing smaller average wins.</t>
  </si>
  <si>
    <t>💡  The Big Winner:  Alligator takes the crown for total profit by a wide margin, proving its winning trades heavily outpaced its losses despite a modest 42.10% win rate over a massive sample size (15,235 trades).</t>
  </si>
  <si>
    <t>📌  Leaderboard ranked by Combined Net P&amp;L (Buy + Sell, full FY) — figures pull live from each strategy sheet</t>
  </si>
  <si>
    <t>Nikesh Ruparel</t>
  </si>
  <si>
    <t>Student: Vishv Jeet Singh Thakur  |  Institution: UPES  |  Strategy: Williams Alligator (WA) Intraday (5-Minute)  |  Time: 9:15 AM – 3:00 PM  |  FY 2025–26</t>
  </si>
  <si>
    <t>💡  The Underperformer:  MACD is the only strategy in this dataset that net lost money, ending in the negative despite having a higher win rate than Alligator, Vwap, Stochastic RSI and Pivot PS.</t>
  </si>
  <si>
    <t>Batch</t>
  </si>
  <si>
    <t>F4- Jun-2026</t>
  </si>
  <si>
    <t>TABLE OF CONTENTS</t>
  </si>
  <si>
    <t>NBFC Sector Backtesting Project  |  FY 2025–26  |  10 Strategies × 15 NBFC Stocks</t>
  </si>
  <si>
    <t>#</t>
  </si>
  <si>
    <t>Section</t>
  </si>
  <si>
    <t>What's Inside</t>
  </si>
  <si>
    <t>Go To</t>
  </si>
  <si>
    <t>Cover Page</t>
  </si>
  <si>
    <t>Project details, submission info &amp; NBFC company reference list</t>
  </si>
  <si>
    <t>Open sheet ▸</t>
  </si>
  <si>
    <t>VWAP Intraday Strategy — quarter-wise Buy/Sell backtest results</t>
  </si>
  <si>
    <t>SuperTrend Intraday Strategy — quarter-wise Buy/Sell backtest results</t>
  </si>
  <si>
    <t>Moving Average Intraday Strategy — quarter-wise Buy/Sell backtest results</t>
  </si>
  <si>
    <t>MACD Intraday Strategy — quarter-wise Buy/Sell backtest results</t>
  </si>
  <si>
    <t>RSI Intraday Strategy — quarter-wise Buy/Sell backtest results</t>
  </si>
  <si>
    <t>Stochastic RSI Intraday Strategy — quarter-wise Buy/Sell backtest results</t>
  </si>
  <si>
    <t>Bollinger Bands Intraday Strategy — quarter-wise Buy/Sell backtest results</t>
  </si>
  <si>
    <t>Awesome Oscillator Intraday Strategy — quarter-wise Buy/Sell backtest results</t>
  </si>
  <si>
    <t>PPS</t>
  </si>
  <si>
    <t>Pivot Point Standard Intraday Strategy — quarter-wise Buy/Sell backtest results</t>
  </si>
  <si>
    <t>WA</t>
  </si>
  <si>
    <t>Williams Alligator Intraday Strategy — quarter-wise Buy/Sell backtest results</t>
  </si>
  <si>
    <t>Results</t>
  </si>
  <si>
    <t>Final leaderboard — all 10 strategies ranked by FY net P&amp;L, with key takeaways</t>
  </si>
  <si>
    <t>📌  Note: Click "Open sheet ▸" to jump directly to a section. Each strategy sheet is broken out by quarter (Q1–Q4) plus a Financial Year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</si>
</sst>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.00;[Red]&quot;-₹&quot;#,##0.00"/>
    <numFmt numFmtId="165" formatCode="[$₹-439]#,##0.00"/>
    <numFmt numFmtId="166" formatCode="0.0%"/>
    <numFmt numFmtId="167" formatCode="#,##0.00;\(#,##0.00\)"/>
    <numFmt numFmtId="169" formatCode="0.0000%"/>
  </numFmts>
  <fonts count="32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sz val="10"/>
      <color rgb="FF000000"/>
      <name val="Calibri"/>
      <family val="2"/>
    </font>
    <font>
      <i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3"/>
      <color rgb="FFFFFFFF"/>
      <name val="Calibri"/>
      <family val="2"/>
    </font>
    <font>
      <sz val="9"/>
      <color rgb="FF000000"/>
      <name val="Calibri"/>
      <family val="2"/>
    </font>
    <font>
      <i/>
      <sz val="8"/>
      <color rgb="FF595959"/>
      <name val="Calibri"/>
      <family val="2"/>
    </font>
    <font>
      <i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E6B2E"/>
      <name val="Calibri"/>
      <family val="2"/>
    </font>
    <font>
      <b/>
      <sz val="9"/>
      <color rgb="FF9C0006"/>
      <name val="Calibri"/>
      <family val="2"/>
    </font>
    <font>
      <b/>
      <sz val="9"/>
      <color rgb="FF00EA6A"/>
      <name val="Calibri"/>
      <family val="2"/>
      <charset val="1"/>
    </font>
    <font>
      <b/>
      <sz val="9"/>
      <color rgb="FFFF3737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2"/>
      <color rgb="FFFFFFFF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i/>
      <sz val="8"/>
      <color rgb="FF444444"/>
      <name val="Calibri"/>
      <family val="2"/>
    </font>
    <font>
      <b/>
      <sz val="15"/>
      <color rgb="FFFFFFFF"/>
      <name val="Calibri"/>
      <family val="2"/>
    </font>
    <font>
      <b/>
      <sz val="9"/>
      <color rgb="FF5C0000"/>
      <name val="Calibri"/>
      <family val="2"/>
    </font>
    <font>
      <b/>
      <sz val="9"/>
      <color rgb="FF004D1A"/>
      <name val="Calibri"/>
      <family val="2"/>
    </font>
    <font>
      <b/>
      <sz val="10"/>
      <color rgb="FF000000"/>
      <name val="Calibri"/>
      <family val="2"/>
    </font>
    <font>
      <b/>
      <sz val="22"/>
      <color rgb="FFFFFFFF"/>
      <name val="Calibri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FFFFFF"/>
      <name val="Calibri"/>
      <family val="2"/>
    </font>
    <font>
      <b/>
      <sz val="9"/>
      <color rgb="FF1A3A5C"/>
      <name val="Calibri"/>
      <family val="2"/>
    </font>
    <font>
      <b/>
      <u/>
      <sz val="9"/>
      <color rgb="FF1155CC"/>
      <name val="Calibri"/>
      <family val="2"/>
    </font>
    <font>
      <b/>
      <sz val="9"/>
      <color rgb="FFB8860B"/>
      <name val="Calibri"/>
      <family val="2"/>
    </font>
    <font>
      <sz val="8"/>
      <color rgb="FF59595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D1B2A"/>
        <bgColor rgb="FF0D2B45"/>
      </patternFill>
    </fill>
    <fill>
      <patternFill patternType="solid">
        <fgColor rgb="FF1A3A5C"/>
        <bgColor rgb="FF0D2B45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E699"/>
        <bgColor rgb="FFFFFFCC"/>
      </patternFill>
    </fill>
    <fill>
      <patternFill patternType="solid">
        <fgColor rgb="FFB8860B"/>
        <bgColor rgb="FFFF9900"/>
      </patternFill>
    </fill>
    <fill>
      <patternFill patternType="solid">
        <fgColor rgb="FF1B6B3A"/>
        <bgColor rgb="FF1E6B2E"/>
      </patternFill>
    </fill>
    <fill>
      <patternFill patternType="solid">
        <fgColor rgb="FF27935A"/>
        <bgColor rgb="FF008080"/>
      </patternFill>
    </fill>
    <fill>
      <patternFill patternType="solid">
        <fgColor rgb="FF234E7A"/>
        <bgColor rgb="FF1A3A5C"/>
      </patternFill>
    </fill>
    <fill>
      <patternFill patternType="solid">
        <fgColor rgb="FFA9D9B0"/>
        <bgColor rgb="FFC6EFCE"/>
      </patternFill>
    </fill>
    <fill>
      <patternFill patternType="solid">
        <fgColor rgb="FFFF8A8A"/>
        <bgColor rgb="FFE0B27A"/>
      </patternFill>
    </fill>
    <fill>
      <patternFill patternType="solid">
        <fgColor rgb="FF0D2B45"/>
        <bgColor rgb="FF0D1B2A"/>
      </patternFill>
    </fill>
    <fill>
      <patternFill patternType="solid">
        <fgColor rgb="FFFFD700"/>
        <bgColor rgb="FFFFFF00"/>
      </patternFill>
    </fill>
    <fill>
      <patternFill patternType="solid">
        <fgColor rgb="FFE0B27A"/>
        <bgColor rgb="FFAAAAAA"/>
      </patternFill>
    </fill>
    <fill>
      <patternFill patternType="solid">
        <fgColor theme="3" tint="0.59999389629810485"/>
        <bgColor rgb="FFD6E4F0"/>
      </patternFill>
    </fill>
    <fill>
      <patternFill patternType="solid">
        <fgColor rgb="FFD6E4F0"/>
        <bgColor rgb="FFC6EFCE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102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64" fontId="11" fillId="1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12" fillId="13" borderId="1" xfId="0" applyNumberFormat="1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left" vertical="center"/>
    </xf>
    <xf numFmtId="165" fontId="13" fillId="3" borderId="1" xfId="0" applyNumberFormat="1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right" vertical="center"/>
    </xf>
    <xf numFmtId="0" fontId="15" fillId="14" borderId="1" xfId="0" applyFont="1" applyFill="1" applyBorder="1" applyAlignment="1">
      <alignment horizontal="left" vertical="center"/>
    </xf>
    <xf numFmtId="0" fontId="0" fillId="5" borderId="0" xfId="0" applyFill="1"/>
    <xf numFmtId="0" fontId="17" fillId="5" borderId="1" xfId="0" applyFont="1" applyFill="1" applyBorder="1" applyAlignment="1">
      <alignment horizontal="left" vertical="center"/>
    </xf>
    <xf numFmtId="164" fontId="11" fillId="6" borderId="1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/>
    </xf>
    <xf numFmtId="166" fontId="18" fillId="5" borderId="1" xfId="0" applyNumberFormat="1" applyFont="1" applyFill="1" applyBorder="1" applyAlignment="1">
      <alignment horizontal="center" vertical="center"/>
    </xf>
    <xf numFmtId="166" fontId="18" fillId="5" borderId="0" xfId="0" applyNumberFormat="1" applyFont="1" applyFill="1" applyAlignment="1">
      <alignment horizontal="center" vertical="center"/>
    </xf>
    <xf numFmtId="0" fontId="0" fillId="4" borderId="0" xfId="0" applyFill="1"/>
    <xf numFmtId="0" fontId="17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166" fontId="18" fillId="4" borderId="1" xfId="0" applyNumberFormat="1" applyFont="1" applyFill="1" applyBorder="1" applyAlignment="1">
      <alignment horizontal="center" vertical="center"/>
    </xf>
    <xf numFmtId="166" fontId="18" fillId="4" borderId="0" xfId="0" applyNumberFormat="1" applyFont="1" applyFill="1" applyAlignment="1">
      <alignment horizontal="center" vertical="center"/>
    </xf>
    <xf numFmtId="0" fontId="0" fillId="3" borderId="0" xfId="0" applyFill="1"/>
    <xf numFmtId="166" fontId="4" fillId="3" borderId="1" xfId="0" applyNumberFormat="1" applyFont="1" applyFill="1" applyBorder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65" fontId="21" fillId="1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165" fontId="22" fillId="12" borderId="1" xfId="0" applyNumberFormat="1" applyFont="1" applyFill="1" applyBorder="1" applyAlignment="1">
      <alignment horizontal="right" vertical="center"/>
    </xf>
    <xf numFmtId="0" fontId="9" fillId="14" borderId="3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167" fontId="23" fillId="12" borderId="1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10" fontId="23" fillId="5" borderId="1" xfId="0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10" fontId="23" fillId="4" borderId="1" xfId="0" applyNumberFormat="1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167" fontId="2" fillId="1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67" fontId="2" fillId="13" borderId="1" xfId="0" applyNumberFormat="1" applyFont="1" applyFill="1" applyBorder="1" applyAlignment="1">
      <alignment horizontal="center" vertical="center"/>
    </xf>
    <xf numFmtId="10" fontId="2" fillId="0" borderId="0" xfId="0" applyNumberFormat="1" applyFont="1"/>
    <xf numFmtId="0" fontId="23" fillId="17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8" fillId="18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/>
    </xf>
    <xf numFmtId="0" fontId="29" fillId="18" borderId="1" xfId="1" applyFont="1" applyFill="1" applyBorder="1" applyAlignment="1">
      <alignment horizontal="center" vertical="center"/>
    </xf>
    <xf numFmtId="0" fontId="29" fillId="4" borderId="1" xfId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169" fontId="4" fillId="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EA6A"/>
      <rgbColor rgb="FF0000FF"/>
      <rgbColor rgb="FFFFFF00"/>
      <rgbColor rgb="FFFF00FF"/>
      <rgbColor rgb="FF00FFFF"/>
      <rgbColor rgb="FF9C0006"/>
      <rgbColor rgb="FF1E6B2E"/>
      <rgbColor rgb="FF1A3A5C"/>
      <rgbColor rgb="FFB8860B"/>
      <rgbColor rgb="FF800080"/>
      <rgbColor rgb="FF1B6B3A"/>
      <rgbColor rgb="FFA9D9B0"/>
      <rgbColor rgb="FF555555"/>
      <rgbColor rgb="FF9999FF"/>
      <rgbColor rgb="FF993366"/>
      <rgbColor rgb="FFFFFFCC"/>
      <rgbColor rgb="FFD6E4F0"/>
      <rgbColor rgb="FF660066"/>
      <rgbColor rgb="FFFF8A8A"/>
      <rgbColor rgb="FF0066CC"/>
      <rgbColor rgb="FFD9D9D9"/>
      <rgbColor rgb="FF000080"/>
      <rgbColor rgb="FFFF00FF"/>
      <rgbColor rgb="FFFFFF00"/>
      <rgbColor rgb="FF00FFFF"/>
      <rgbColor rgb="FF800080"/>
      <rgbColor rgb="FF5C0000"/>
      <rgbColor rgb="FF008080"/>
      <rgbColor rgb="FF0000FF"/>
      <rgbColor rgb="FF00CCFF"/>
      <rgbColor rgb="FFCCFFFF"/>
      <rgbColor rgb="FFC6EFCE"/>
      <rgbColor rgb="FFFFE699"/>
      <rgbColor rgb="FF99CCFF"/>
      <rgbColor rgb="FFE0B27A"/>
      <rgbColor rgb="FFCC99FF"/>
      <rgbColor rgb="FFFFC7CE"/>
      <rgbColor rgb="FF3366FF"/>
      <rgbColor rgb="FF33CCCC"/>
      <rgbColor rgb="FF99CC00"/>
      <rgbColor rgb="FFFFD700"/>
      <rgbColor rgb="FFFF9900"/>
      <rgbColor rgb="FFFF3737"/>
      <rgbColor rgb="FF595959"/>
      <rgbColor rgb="FFAAAAAA"/>
      <rgbColor rgb="FF0D2B45"/>
      <rgbColor rgb="FF27935A"/>
      <rgbColor rgb="FF004D1A"/>
      <rgbColor rgb="FF0D1B2A"/>
      <rgbColor rgb="FF993300"/>
      <rgbColor rgb="FF993366"/>
      <rgbColor rgb="FF234E7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55CC"/>
      <color rgb="FFDEA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41"/>
  <sheetViews>
    <sheetView showGridLines="0" zoomScaleNormal="100" workbookViewId="0">
      <selection activeCell="F11" sqref="F11"/>
    </sheetView>
  </sheetViews>
  <sheetFormatPr defaultColWidth="8.6640625" defaultRowHeight="14.4" x14ac:dyDescent="0.3"/>
  <cols>
    <col min="1" max="1" width="36.109375" bestFit="1" customWidth="1"/>
    <col min="2" max="2" width="51.6640625" bestFit="1" customWidth="1"/>
    <col min="3" max="3" width="15.5546875" customWidth="1"/>
    <col min="4" max="4" width="16.21875" customWidth="1"/>
  </cols>
  <sheetData>
    <row r="1" spans="1:6" ht="31.5" customHeight="1" x14ac:dyDescent="0.3">
      <c r="A1" s="78" t="s">
        <v>0</v>
      </c>
      <c r="B1" s="78"/>
      <c r="C1" s="78"/>
      <c r="D1" s="78"/>
    </row>
    <row r="2" spans="1:6" x14ac:dyDescent="0.3">
      <c r="A2" s="84" t="s">
        <v>1</v>
      </c>
      <c r="B2" s="84"/>
      <c r="C2" s="84"/>
      <c r="D2" s="84"/>
    </row>
    <row r="3" spans="1:6" x14ac:dyDescent="0.3">
      <c r="A3" s="3"/>
      <c r="B3" s="3"/>
      <c r="C3" s="3"/>
      <c r="D3" s="3"/>
      <c r="E3" s="3"/>
      <c r="F3" s="3"/>
    </row>
    <row r="4" spans="1:6" ht="18" customHeight="1" x14ac:dyDescent="0.3">
      <c r="A4" s="1" t="s">
        <v>2</v>
      </c>
      <c r="B4" s="66" t="s">
        <v>3</v>
      </c>
      <c r="C4" s="67"/>
      <c r="D4" s="68"/>
      <c r="E4" s="3"/>
      <c r="F4" s="3"/>
    </row>
    <row r="5" spans="1:6" ht="18" customHeight="1" x14ac:dyDescent="0.3">
      <c r="A5" s="1" t="s">
        <v>4</v>
      </c>
      <c r="B5" s="63" t="s">
        <v>96</v>
      </c>
      <c r="C5" s="64"/>
      <c r="D5" s="65"/>
      <c r="E5" s="3"/>
      <c r="F5" s="3"/>
    </row>
    <row r="6" spans="1:6" ht="18" customHeight="1" x14ac:dyDescent="0.3">
      <c r="A6" s="1" t="s">
        <v>5</v>
      </c>
      <c r="B6" s="66" t="s">
        <v>6</v>
      </c>
      <c r="C6" s="67"/>
      <c r="D6" s="68"/>
      <c r="E6" s="3"/>
      <c r="F6" s="3"/>
    </row>
    <row r="7" spans="1:6" ht="18" customHeight="1" x14ac:dyDescent="0.3">
      <c r="A7" s="1" t="s">
        <v>7</v>
      </c>
      <c r="B7" s="63" t="s">
        <v>8</v>
      </c>
      <c r="C7" s="64"/>
      <c r="D7" s="65"/>
      <c r="E7" s="3"/>
      <c r="F7" s="3"/>
    </row>
    <row r="8" spans="1:6" ht="18" customHeight="1" x14ac:dyDescent="0.3">
      <c r="A8" s="1" t="s">
        <v>99</v>
      </c>
      <c r="B8" s="66" t="s">
        <v>100</v>
      </c>
      <c r="C8" s="67"/>
      <c r="D8" s="68"/>
      <c r="E8" s="3"/>
      <c r="F8" s="3"/>
    </row>
    <row r="9" spans="1:6" ht="18" customHeight="1" x14ac:dyDescent="0.3">
      <c r="A9" s="1" t="s">
        <v>9</v>
      </c>
      <c r="B9" s="66" t="s">
        <v>10</v>
      </c>
      <c r="C9" s="67"/>
      <c r="D9" s="68"/>
      <c r="E9" s="3"/>
      <c r="F9" s="3"/>
    </row>
    <row r="10" spans="1:6" ht="9.75" customHeight="1" x14ac:dyDescent="0.3">
      <c r="A10" s="3"/>
      <c r="B10" s="3"/>
      <c r="C10" s="3"/>
      <c r="D10" s="3"/>
      <c r="E10" s="3"/>
      <c r="F10" s="3"/>
    </row>
    <row r="11" spans="1:6" ht="27.75" customHeight="1" x14ac:dyDescent="0.3">
      <c r="A11" s="81" t="s">
        <v>11</v>
      </c>
      <c r="B11" s="81"/>
      <c r="C11" s="81"/>
      <c r="D11" s="81"/>
      <c r="E11" s="3"/>
      <c r="F11" s="3"/>
    </row>
    <row r="12" spans="1:6" ht="19.5" customHeight="1" x14ac:dyDescent="0.3">
      <c r="A12" s="6" t="s">
        <v>12</v>
      </c>
      <c r="B12" s="6" t="s">
        <v>13</v>
      </c>
      <c r="C12" s="6" t="s">
        <v>14</v>
      </c>
      <c r="D12" s="7" t="s">
        <v>15</v>
      </c>
      <c r="E12" s="3"/>
      <c r="F12" s="3"/>
    </row>
    <row r="13" spans="1:6" ht="15.75" customHeight="1" x14ac:dyDescent="0.3">
      <c r="A13" s="8" t="s">
        <v>16</v>
      </c>
      <c r="B13" s="8" t="s">
        <v>17</v>
      </c>
      <c r="C13" s="13" t="str">
        <f>IF(D13&lt;20000,"Mid Cap","Large Cap")</f>
        <v>Mid Cap</v>
      </c>
      <c r="D13" s="10">
        <v>11813</v>
      </c>
      <c r="E13" s="3"/>
      <c r="F13" s="3"/>
    </row>
    <row r="14" spans="1:6" ht="15.75" customHeight="1" x14ac:dyDescent="0.3">
      <c r="A14" s="11" t="s">
        <v>18</v>
      </c>
      <c r="B14" s="11" t="s">
        <v>19</v>
      </c>
      <c r="C14" s="13" t="str">
        <f t="shared" ref="C14:C27" si="0">IF(D14&lt;20000,"Mid Cap","Large Cap")</f>
        <v>Mid Cap</v>
      </c>
      <c r="D14" s="12">
        <v>12456</v>
      </c>
      <c r="E14" s="3"/>
      <c r="F14" s="3"/>
    </row>
    <row r="15" spans="1:6" ht="15.75" customHeight="1" x14ac:dyDescent="0.3">
      <c r="A15" s="8" t="s">
        <v>20</v>
      </c>
      <c r="B15" s="8" t="s">
        <v>21</v>
      </c>
      <c r="C15" s="13" t="str">
        <f t="shared" si="0"/>
        <v>Mid Cap</v>
      </c>
      <c r="D15" s="10">
        <v>14670</v>
      </c>
      <c r="E15" s="3"/>
      <c r="F15" s="3"/>
    </row>
    <row r="16" spans="1:6" ht="15.75" customHeight="1" x14ac:dyDescent="0.3">
      <c r="A16" s="11" t="s">
        <v>22</v>
      </c>
      <c r="B16" s="11" t="s">
        <v>23</v>
      </c>
      <c r="C16" s="9" t="str">
        <f t="shared" si="0"/>
        <v>Large Cap</v>
      </c>
      <c r="D16" s="12">
        <v>21679</v>
      </c>
      <c r="E16" s="3"/>
      <c r="F16" s="3"/>
    </row>
    <row r="17" spans="1:6" ht="15.75" customHeight="1" x14ac:dyDescent="0.3">
      <c r="A17" s="8" t="s">
        <v>24</v>
      </c>
      <c r="B17" s="8" t="s">
        <v>25</v>
      </c>
      <c r="C17" s="9" t="str">
        <f t="shared" si="0"/>
        <v>Large Cap</v>
      </c>
      <c r="D17" s="10">
        <v>29918</v>
      </c>
      <c r="E17" s="3"/>
      <c r="F17" s="3"/>
    </row>
    <row r="18" spans="1:6" ht="15.75" customHeight="1" x14ac:dyDescent="0.3">
      <c r="A18" s="11" t="s">
        <v>26</v>
      </c>
      <c r="B18" s="11" t="s">
        <v>27</v>
      </c>
      <c r="C18" s="9" t="str">
        <f t="shared" si="0"/>
        <v>Large Cap</v>
      </c>
      <c r="D18" s="12">
        <v>30245</v>
      </c>
      <c r="E18" s="3"/>
      <c r="F18" s="3"/>
    </row>
    <row r="19" spans="1:6" ht="15.75" customHeight="1" x14ac:dyDescent="0.3">
      <c r="A19" s="8" t="s">
        <v>28</v>
      </c>
      <c r="B19" s="8" t="s">
        <v>29</v>
      </c>
      <c r="C19" s="9" t="str">
        <f t="shared" si="0"/>
        <v>Large Cap</v>
      </c>
      <c r="D19" s="10">
        <v>38768</v>
      </c>
      <c r="E19" s="3"/>
      <c r="F19" s="3"/>
    </row>
    <row r="20" spans="1:6" ht="15.75" customHeight="1" x14ac:dyDescent="0.3">
      <c r="A20" s="11" t="s">
        <v>30</v>
      </c>
      <c r="B20" s="11" t="s">
        <v>31</v>
      </c>
      <c r="C20" s="9" t="str">
        <f t="shared" si="0"/>
        <v>Large Cap</v>
      </c>
      <c r="D20" s="12">
        <v>45668</v>
      </c>
      <c r="E20" s="3"/>
      <c r="F20" s="3"/>
    </row>
    <row r="21" spans="1:6" ht="15.75" customHeight="1" x14ac:dyDescent="0.3">
      <c r="A21" s="8" t="s">
        <v>32</v>
      </c>
      <c r="B21" s="8" t="s">
        <v>33</v>
      </c>
      <c r="C21" s="9" t="str">
        <f t="shared" si="0"/>
        <v>Large Cap</v>
      </c>
      <c r="D21" s="10">
        <v>51409</v>
      </c>
      <c r="E21" s="3"/>
      <c r="F21" s="3"/>
    </row>
    <row r="22" spans="1:6" ht="15.75" customHeight="1" x14ac:dyDescent="0.3">
      <c r="A22" s="11" t="s">
        <v>34</v>
      </c>
      <c r="B22" s="11" t="s">
        <v>35</v>
      </c>
      <c r="C22" s="9" t="str">
        <f t="shared" si="0"/>
        <v>Large Cap</v>
      </c>
      <c r="D22" s="12">
        <v>74915</v>
      </c>
      <c r="E22" s="3"/>
      <c r="F22" s="3"/>
    </row>
    <row r="23" spans="1:6" ht="15.75" customHeight="1" x14ac:dyDescent="0.3">
      <c r="A23" s="8" t="s">
        <v>36</v>
      </c>
      <c r="B23" s="8" t="s">
        <v>37</v>
      </c>
      <c r="C23" s="9" t="str">
        <f t="shared" si="0"/>
        <v>Large Cap</v>
      </c>
      <c r="D23" s="10">
        <v>106853</v>
      </c>
      <c r="E23" s="3"/>
      <c r="F23" s="3"/>
    </row>
    <row r="24" spans="1:6" ht="15.75" customHeight="1" x14ac:dyDescent="0.3">
      <c r="A24" s="11" t="s">
        <v>38</v>
      </c>
      <c r="B24" s="11" t="s">
        <v>39</v>
      </c>
      <c r="C24" s="9" t="str">
        <f t="shared" si="0"/>
        <v>Large Cap</v>
      </c>
      <c r="D24" s="12">
        <v>121468</v>
      </c>
      <c r="E24" s="3"/>
      <c r="F24" s="3"/>
    </row>
    <row r="25" spans="1:6" ht="15.75" customHeight="1" x14ac:dyDescent="0.3">
      <c r="A25" s="8" t="s">
        <v>40</v>
      </c>
      <c r="B25" s="8" t="s">
        <v>41</v>
      </c>
      <c r="C25" s="9" t="str">
        <f t="shared" si="0"/>
        <v>Large Cap</v>
      </c>
      <c r="D25" s="10">
        <v>153397</v>
      </c>
      <c r="E25" s="3"/>
      <c r="F25" s="3"/>
    </row>
    <row r="26" spans="1:6" ht="15.75" customHeight="1" x14ac:dyDescent="0.3">
      <c r="A26" s="11" t="s">
        <v>42</v>
      </c>
      <c r="B26" s="11" t="s">
        <v>43</v>
      </c>
      <c r="C26" s="9" t="str">
        <f t="shared" si="0"/>
        <v>Large Cap</v>
      </c>
      <c r="D26" s="12">
        <v>242774</v>
      </c>
      <c r="E26" s="3"/>
      <c r="F26" s="3"/>
    </row>
    <row r="27" spans="1:6" ht="15.75" customHeight="1" x14ac:dyDescent="0.3">
      <c r="A27" s="8" t="s">
        <v>44</v>
      </c>
      <c r="B27" s="8" t="s">
        <v>45</v>
      </c>
      <c r="C27" s="9" t="str">
        <f t="shared" si="0"/>
        <v>Large Cap</v>
      </c>
      <c r="D27" s="10">
        <v>610393</v>
      </c>
      <c r="E27" s="3"/>
      <c r="F27" s="3"/>
    </row>
    <row r="28" spans="1:6" ht="19.5" customHeight="1" x14ac:dyDescent="0.3">
      <c r="A28" s="82" t="s">
        <v>46</v>
      </c>
      <c r="B28" s="82"/>
      <c r="C28" s="82"/>
      <c r="D28" s="7">
        <f>AVERAGE(D13:D27)</f>
        <v>104428.4</v>
      </c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83" t="s">
        <v>47</v>
      </c>
      <c r="B30" s="83"/>
      <c r="C30" s="83"/>
      <c r="D30" s="8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</sheetData>
  <mergeCells count="5">
    <mergeCell ref="A11:D11"/>
    <mergeCell ref="A28:C28"/>
    <mergeCell ref="A30:D30"/>
    <mergeCell ref="A1:D1"/>
    <mergeCell ref="A2:D2"/>
  </mergeCells>
  <phoneticPr fontId="2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7991-D920-461B-A459-66BC1BC747EA}">
  <sheetPr>
    <tabColor theme="0" tint="-0.249977111117893"/>
  </sheetPr>
  <dimension ref="A1:D18"/>
  <sheetViews>
    <sheetView workbookViewId="0">
      <selection activeCell="C24" sqref="C24"/>
    </sheetView>
  </sheetViews>
  <sheetFormatPr defaultRowHeight="14.4" x14ac:dyDescent="0.3"/>
  <cols>
    <col min="1" max="1" width="6.21875" customWidth="1"/>
    <col min="2" max="2" width="15.33203125" customWidth="1"/>
    <col min="3" max="3" width="66.109375" customWidth="1"/>
    <col min="4" max="4" width="19.88671875" customWidth="1"/>
  </cols>
  <sheetData>
    <row r="1" spans="1:4" ht="28.8" x14ac:dyDescent="0.3">
      <c r="A1" s="78" t="s">
        <v>101</v>
      </c>
      <c r="B1" s="78"/>
      <c r="C1" s="78"/>
      <c r="D1" s="78"/>
    </row>
    <row r="2" spans="1:4" x14ac:dyDescent="0.3">
      <c r="A2" s="79" t="s">
        <v>102</v>
      </c>
      <c r="B2" s="79"/>
      <c r="C2" s="79"/>
      <c r="D2" s="79"/>
    </row>
    <row r="4" spans="1:4" x14ac:dyDescent="0.3">
      <c r="A4" s="6" t="s">
        <v>103</v>
      </c>
      <c r="B4" s="6" t="s">
        <v>104</v>
      </c>
      <c r="C4" s="6" t="s">
        <v>105</v>
      </c>
      <c r="D4" s="6" t="s">
        <v>106</v>
      </c>
    </row>
    <row r="5" spans="1:4" x14ac:dyDescent="0.3">
      <c r="A5" s="69">
        <v>1</v>
      </c>
      <c r="B5" s="72" t="s">
        <v>107</v>
      </c>
      <c r="C5" s="73" t="s">
        <v>108</v>
      </c>
      <c r="D5" s="76" t="s">
        <v>109</v>
      </c>
    </row>
    <row r="6" spans="1:4" x14ac:dyDescent="0.3">
      <c r="A6" s="70">
        <v>2</v>
      </c>
      <c r="B6" s="74" t="s">
        <v>85</v>
      </c>
      <c r="C6" s="11" t="s">
        <v>110</v>
      </c>
      <c r="D6" s="77" t="s">
        <v>109</v>
      </c>
    </row>
    <row r="7" spans="1:4" x14ac:dyDescent="0.3">
      <c r="A7" s="69">
        <v>3</v>
      </c>
      <c r="B7" s="72" t="s">
        <v>88</v>
      </c>
      <c r="C7" s="73" t="s">
        <v>111</v>
      </c>
      <c r="D7" s="76" t="s">
        <v>109</v>
      </c>
    </row>
    <row r="8" spans="1:4" x14ac:dyDescent="0.3">
      <c r="A8" s="70">
        <v>4</v>
      </c>
      <c r="B8" s="74" t="s">
        <v>87</v>
      </c>
      <c r="C8" s="11" t="s">
        <v>112</v>
      </c>
      <c r="D8" s="77" t="s">
        <v>109</v>
      </c>
    </row>
    <row r="9" spans="1:4" x14ac:dyDescent="0.3">
      <c r="A9" s="69">
        <v>5</v>
      </c>
      <c r="B9" s="72" t="s">
        <v>91</v>
      </c>
      <c r="C9" s="73" t="s">
        <v>113</v>
      </c>
      <c r="D9" s="76" t="s">
        <v>109</v>
      </c>
    </row>
    <row r="10" spans="1:4" x14ac:dyDescent="0.3">
      <c r="A10" s="70">
        <v>6</v>
      </c>
      <c r="B10" s="74" t="s">
        <v>84</v>
      </c>
      <c r="C10" s="11" t="s">
        <v>114</v>
      </c>
      <c r="D10" s="77" t="s">
        <v>109</v>
      </c>
    </row>
    <row r="11" spans="1:4" x14ac:dyDescent="0.3">
      <c r="A11" s="69">
        <v>7</v>
      </c>
      <c r="B11" s="72" t="s">
        <v>89</v>
      </c>
      <c r="C11" s="73" t="s">
        <v>115</v>
      </c>
      <c r="D11" s="76" t="s">
        <v>109</v>
      </c>
    </row>
    <row r="12" spans="1:4" x14ac:dyDescent="0.3">
      <c r="A12" s="70">
        <v>8</v>
      </c>
      <c r="B12" s="74" t="s">
        <v>83</v>
      </c>
      <c r="C12" s="11" t="s">
        <v>116</v>
      </c>
      <c r="D12" s="77" t="s">
        <v>109</v>
      </c>
    </row>
    <row r="13" spans="1:4" x14ac:dyDescent="0.3">
      <c r="A13" s="69">
        <v>9</v>
      </c>
      <c r="B13" s="72" t="s">
        <v>86</v>
      </c>
      <c r="C13" s="73" t="s">
        <v>117</v>
      </c>
      <c r="D13" s="76" t="s">
        <v>109</v>
      </c>
    </row>
    <row r="14" spans="1:4" x14ac:dyDescent="0.3">
      <c r="A14" s="70">
        <v>10</v>
      </c>
      <c r="B14" s="74" t="s">
        <v>118</v>
      </c>
      <c r="C14" s="11" t="s">
        <v>119</v>
      </c>
      <c r="D14" s="77" t="s">
        <v>109</v>
      </c>
    </row>
    <row r="15" spans="1:4" x14ac:dyDescent="0.3">
      <c r="A15" s="69">
        <v>11</v>
      </c>
      <c r="B15" s="72" t="s">
        <v>120</v>
      </c>
      <c r="C15" s="73" t="s">
        <v>121</v>
      </c>
      <c r="D15" s="76" t="s">
        <v>109</v>
      </c>
    </row>
    <row r="16" spans="1:4" x14ac:dyDescent="0.3">
      <c r="A16" s="71">
        <v>12</v>
      </c>
      <c r="B16" s="75" t="s">
        <v>122</v>
      </c>
      <c r="C16" s="11" t="s">
        <v>123</v>
      </c>
      <c r="D16" s="77" t="s">
        <v>109</v>
      </c>
    </row>
    <row r="18" spans="1:4" x14ac:dyDescent="0.3">
      <c r="A18" s="80" t="s">
        <v>124</v>
      </c>
      <c r="B18" s="80"/>
      <c r="C18" s="80"/>
      <c r="D18" s="80"/>
    </row>
  </sheetData>
  <mergeCells count="3">
    <mergeCell ref="A1:D1"/>
    <mergeCell ref="A2:D2"/>
    <mergeCell ref="A18:D18"/>
  </mergeCells>
  <hyperlinks>
    <hyperlink ref="D8" location="MA!A1" display="Open sheet ▸" xr:uid="{F954CB1F-D91D-4D8D-B847-05E7E5BF6747}"/>
    <hyperlink ref="D9" location="MACD!A1" display="Open sheet ▸" xr:uid="{A77E235A-2A30-4C33-BA81-6C5EEA9B3E53}"/>
    <hyperlink ref="D10" location="RSI!A1" display="Open sheet ▸" xr:uid="{FB8FFABC-0896-4890-B9C2-1F2C1896B792}"/>
    <hyperlink ref="D11" location="'Stochastic RSI'!A1" display="Open sheet ▸" xr:uid="{8C4BEE8C-0AB1-46C3-AB55-96B73BF790DC}"/>
    <hyperlink ref="D12" location="BB!A1" display="Open sheet ▸" xr:uid="{AAAE7FEA-6052-4485-B764-F56209F030C6}"/>
    <hyperlink ref="D13" location="AO!A1" display="Open sheet ▸" xr:uid="{45EA441C-67E2-47FB-97B1-2C21E357EB3F}"/>
    <hyperlink ref="D14" location="PPS!A1" display="Open sheet ▸" xr:uid="{C241BFCB-580D-419E-8A20-EFB9E59B1A41}"/>
    <hyperlink ref="D15" location="WA!A1" display="Open sheet ▸" xr:uid="{C45395A8-1DF9-48D9-B1B4-87202E6A2B0E}"/>
    <hyperlink ref="D16" location="Results!A1" display="Open sheet ▸" xr:uid="{1959047D-D068-4607-B781-020986B4FC39}"/>
    <hyperlink ref="D7" location="SuperTrend!A1" display="Open sheet ▸" xr:uid="{2A1B38DF-0E11-4F8D-9218-1020E060FB8D}"/>
    <hyperlink ref="D6" location="Vwap!A1" display="Open sheet ▸" xr:uid="{6348BE0C-B4F5-43F7-866E-D20ECFD18054}"/>
    <hyperlink ref="D5" location="'Cover Page'!A1" display="Open sheet ▸" xr:uid="{60954E54-B955-40ED-B01E-22228C7A34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M90"/>
  <sheetViews>
    <sheetView showGridLines="0"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36.109375" customWidth="1"/>
    <col min="2" max="2" width="6.88671875" customWidth="1"/>
    <col min="3" max="3" width="14" customWidth="1"/>
    <col min="4" max="4" width="11.21875" customWidth="1"/>
    <col min="5" max="5" width="8.21875" customWidth="1"/>
    <col min="6" max="7" width="9.109375" customWidth="1"/>
    <col min="8" max="8" width="44.44140625" customWidth="1"/>
    <col min="9" max="9" width="6.88671875" customWidth="1"/>
    <col min="10" max="10" width="8.5546875" customWidth="1"/>
    <col min="11" max="11" width="8.21875" customWidth="1"/>
    <col min="12" max="12" width="8.109375" customWidth="1"/>
    <col min="13" max="13" width="13.77734375" customWidth="1"/>
  </cols>
  <sheetData>
    <row r="1" spans="1:13" ht="30" customHeight="1" x14ac:dyDescent="0.3">
      <c r="A1" s="91" t="s">
        <v>48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 x14ac:dyDescent="0.3">
      <c r="A2" s="92" t="s">
        <v>49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4" spans="1:13" ht="19.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87" t="s">
        <v>51</v>
      </c>
      <c r="B5" s="87"/>
      <c r="C5" s="87"/>
      <c r="D5" s="87"/>
      <c r="E5" s="87"/>
      <c r="F5" s="87"/>
      <c r="H5" s="88" t="s">
        <v>52</v>
      </c>
      <c r="I5" s="88"/>
      <c r="J5" s="88"/>
      <c r="K5" s="88"/>
      <c r="L5" s="88"/>
      <c r="M5" s="88"/>
    </row>
    <row r="6" spans="1:13" ht="19.5" customHeight="1" x14ac:dyDescent="0.3">
      <c r="A6" s="14" t="s">
        <v>12</v>
      </c>
      <c r="B6" s="14" t="s">
        <v>53</v>
      </c>
      <c r="C6" s="14" t="s">
        <v>54</v>
      </c>
      <c r="D6" s="14" t="s">
        <v>55</v>
      </c>
      <c r="E6" s="14" t="s">
        <v>56</v>
      </c>
      <c r="F6" s="14" t="s">
        <v>57</v>
      </c>
      <c r="H6" s="15" t="s">
        <v>12</v>
      </c>
      <c r="I6" s="15" t="s">
        <v>53</v>
      </c>
      <c r="J6" s="15" t="s">
        <v>54</v>
      </c>
      <c r="K6" s="15" t="s">
        <v>55</v>
      </c>
      <c r="L6" s="15" t="s">
        <v>56</v>
      </c>
      <c r="M6" s="15" t="s">
        <v>57</v>
      </c>
    </row>
    <row r="7" spans="1:13" ht="15.75" customHeight="1" x14ac:dyDescent="0.3">
      <c r="A7" s="8" t="s">
        <v>16</v>
      </c>
      <c r="B7" s="8" t="s">
        <v>58</v>
      </c>
      <c r="C7" s="16">
        <v>1229.6500000000001</v>
      </c>
      <c r="D7" s="17">
        <v>36</v>
      </c>
      <c r="E7" s="17">
        <v>57</v>
      </c>
      <c r="F7" s="17">
        <f t="shared" ref="F7:F21" si="0">SUM(D7,E7)</f>
        <v>93</v>
      </c>
      <c r="H7" s="8" t="s">
        <v>16</v>
      </c>
      <c r="I7" s="8" t="s">
        <v>58</v>
      </c>
      <c r="J7" s="16">
        <v>264.60000000000002</v>
      </c>
      <c r="K7" s="17">
        <v>39</v>
      </c>
      <c r="L7" s="17">
        <v>52</v>
      </c>
      <c r="M7" s="17">
        <f t="shared" ref="M7:M21" si="1">SUM(K7,L7)</f>
        <v>91</v>
      </c>
    </row>
    <row r="8" spans="1:13" ht="15.75" customHeight="1" x14ac:dyDescent="0.3">
      <c r="A8" s="11" t="s">
        <v>18</v>
      </c>
      <c r="B8" s="11" t="s">
        <v>58</v>
      </c>
      <c r="C8" s="16">
        <v>4538.1000000000004</v>
      </c>
      <c r="D8" s="18">
        <v>44</v>
      </c>
      <c r="E8" s="18">
        <v>52</v>
      </c>
      <c r="F8" s="18">
        <f t="shared" si="0"/>
        <v>96</v>
      </c>
      <c r="H8" s="11" t="s">
        <v>18</v>
      </c>
      <c r="I8" s="11" t="s">
        <v>58</v>
      </c>
      <c r="J8" s="19">
        <v>-1938.55</v>
      </c>
      <c r="K8" s="18">
        <v>36</v>
      </c>
      <c r="L8" s="18">
        <v>69</v>
      </c>
      <c r="M8" s="18">
        <f t="shared" si="1"/>
        <v>105</v>
      </c>
    </row>
    <row r="9" spans="1:13" ht="15.75" customHeight="1" x14ac:dyDescent="0.3">
      <c r="A9" s="8" t="s">
        <v>20</v>
      </c>
      <c r="B9" s="8" t="s">
        <v>58</v>
      </c>
      <c r="C9" s="16">
        <v>621.9</v>
      </c>
      <c r="D9" s="17">
        <v>39</v>
      </c>
      <c r="E9" s="17">
        <v>56</v>
      </c>
      <c r="F9" s="17">
        <f t="shared" si="0"/>
        <v>95</v>
      </c>
      <c r="H9" s="8" t="s">
        <v>20</v>
      </c>
      <c r="I9" s="8" t="s">
        <v>58</v>
      </c>
      <c r="J9" s="19">
        <v>-2686.9</v>
      </c>
      <c r="K9" s="17">
        <v>31</v>
      </c>
      <c r="L9" s="17">
        <v>61</v>
      </c>
      <c r="M9" s="17">
        <f t="shared" si="1"/>
        <v>92</v>
      </c>
    </row>
    <row r="10" spans="1:13" ht="15.75" customHeight="1" x14ac:dyDescent="0.3">
      <c r="A10" s="11" t="s">
        <v>22</v>
      </c>
      <c r="B10" s="11" t="s">
        <v>58</v>
      </c>
      <c r="C10" s="16">
        <v>303.2</v>
      </c>
      <c r="D10" s="18">
        <v>43</v>
      </c>
      <c r="E10" s="18">
        <v>73</v>
      </c>
      <c r="F10" s="18">
        <f t="shared" si="0"/>
        <v>116</v>
      </c>
      <c r="H10" s="11" t="s">
        <v>22</v>
      </c>
      <c r="I10" s="11" t="s">
        <v>58</v>
      </c>
      <c r="J10" s="19">
        <v>-2292</v>
      </c>
      <c r="K10" s="18">
        <v>44</v>
      </c>
      <c r="L10" s="18">
        <v>73</v>
      </c>
      <c r="M10" s="18">
        <f t="shared" si="1"/>
        <v>117</v>
      </c>
    </row>
    <row r="11" spans="1:13" ht="15.75" customHeight="1" x14ac:dyDescent="0.3">
      <c r="A11" s="8" t="s">
        <v>24</v>
      </c>
      <c r="B11" s="8" t="s">
        <v>58</v>
      </c>
      <c r="C11" s="19">
        <v>-433.85</v>
      </c>
      <c r="D11" s="17">
        <v>35</v>
      </c>
      <c r="E11" s="17">
        <v>50</v>
      </c>
      <c r="F11" s="17">
        <f t="shared" si="0"/>
        <v>85</v>
      </c>
      <c r="H11" s="8" t="s">
        <v>24</v>
      </c>
      <c r="I11" s="8" t="s">
        <v>58</v>
      </c>
      <c r="J11" s="19">
        <v>-689.94</v>
      </c>
      <c r="K11" s="17">
        <v>36</v>
      </c>
      <c r="L11" s="17">
        <v>48</v>
      </c>
      <c r="M11" s="17">
        <f t="shared" si="1"/>
        <v>84</v>
      </c>
    </row>
    <row r="12" spans="1:13" ht="15.75" customHeight="1" x14ac:dyDescent="0.3">
      <c r="A12" s="11" t="s">
        <v>26</v>
      </c>
      <c r="B12" s="11" t="s">
        <v>58</v>
      </c>
      <c r="C12" s="16">
        <v>1107.9000000000001</v>
      </c>
      <c r="D12" s="18">
        <v>36</v>
      </c>
      <c r="E12" s="18">
        <v>54</v>
      </c>
      <c r="F12" s="18">
        <f t="shared" si="0"/>
        <v>90</v>
      </c>
      <c r="H12" s="11" t="s">
        <v>26</v>
      </c>
      <c r="I12" s="11" t="s">
        <v>58</v>
      </c>
      <c r="J12" s="16">
        <v>421.55</v>
      </c>
      <c r="K12" s="18">
        <v>36</v>
      </c>
      <c r="L12" s="18">
        <v>48</v>
      </c>
      <c r="M12" s="18">
        <f t="shared" si="1"/>
        <v>84</v>
      </c>
    </row>
    <row r="13" spans="1:13" ht="15.75" customHeight="1" x14ac:dyDescent="0.3">
      <c r="A13" s="8" t="s">
        <v>28</v>
      </c>
      <c r="B13" s="8" t="s">
        <v>58</v>
      </c>
      <c r="C13" s="16">
        <v>1735.5</v>
      </c>
      <c r="D13" s="17">
        <v>45</v>
      </c>
      <c r="E13" s="17">
        <v>56</v>
      </c>
      <c r="F13" s="17">
        <f t="shared" si="0"/>
        <v>101</v>
      </c>
      <c r="H13" s="8" t="s">
        <v>28</v>
      </c>
      <c r="I13" s="8" t="s">
        <v>58</v>
      </c>
      <c r="J13" s="19">
        <v>-6259.9</v>
      </c>
      <c r="K13" s="17">
        <v>30</v>
      </c>
      <c r="L13" s="17">
        <v>78</v>
      </c>
      <c r="M13" s="17">
        <f t="shared" si="1"/>
        <v>108</v>
      </c>
    </row>
    <row r="14" spans="1:13" ht="15.75" customHeight="1" x14ac:dyDescent="0.3">
      <c r="A14" s="11" t="s">
        <v>30</v>
      </c>
      <c r="B14" s="11" t="s">
        <v>58</v>
      </c>
      <c r="C14" s="19">
        <v>-2159.8000000000002</v>
      </c>
      <c r="D14" s="18">
        <v>34</v>
      </c>
      <c r="E14" s="18">
        <v>55</v>
      </c>
      <c r="F14" s="18">
        <f t="shared" si="0"/>
        <v>89</v>
      </c>
      <c r="H14" s="11" t="s">
        <v>30</v>
      </c>
      <c r="I14" s="11" t="s">
        <v>58</v>
      </c>
      <c r="J14" s="19">
        <v>-774.4</v>
      </c>
      <c r="K14" s="18">
        <v>33</v>
      </c>
      <c r="L14" s="18">
        <v>48</v>
      </c>
      <c r="M14" s="18">
        <f t="shared" si="1"/>
        <v>81</v>
      </c>
    </row>
    <row r="15" spans="1:13" ht="15.75" customHeight="1" x14ac:dyDescent="0.3">
      <c r="A15" s="8" t="s">
        <v>32</v>
      </c>
      <c r="B15" s="8" t="s">
        <v>58</v>
      </c>
      <c r="C15" s="16">
        <v>1625.6</v>
      </c>
      <c r="D15" s="17">
        <v>39</v>
      </c>
      <c r="E15" s="17">
        <v>56</v>
      </c>
      <c r="F15" s="17">
        <f t="shared" si="0"/>
        <v>95</v>
      </c>
      <c r="H15" s="8" t="s">
        <v>32</v>
      </c>
      <c r="I15" s="8" t="s">
        <v>58</v>
      </c>
      <c r="J15" s="19">
        <v>-2078.1999999999998</v>
      </c>
      <c r="K15" s="17">
        <v>27</v>
      </c>
      <c r="L15" s="17">
        <v>61</v>
      </c>
      <c r="M15" s="17">
        <f t="shared" si="1"/>
        <v>88</v>
      </c>
    </row>
    <row r="16" spans="1:13" ht="15.75" customHeight="1" x14ac:dyDescent="0.3">
      <c r="A16" s="11" t="s">
        <v>34</v>
      </c>
      <c r="B16" s="11" t="s">
        <v>58</v>
      </c>
      <c r="C16" s="16">
        <v>1905.93</v>
      </c>
      <c r="D16" s="18">
        <v>39</v>
      </c>
      <c r="E16" s="18">
        <v>51</v>
      </c>
      <c r="F16" s="18">
        <f t="shared" si="0"/>
        <v>90</v>
      </c>
      <c r="H16" s="11" t="s">
        <v>34</v>
      </c>
      <c r="I16" s="11" t="s">
        <v>58</v>
      </c>
      <c r="J16" s="19">
        <v>-2328.34</v>
      </c>
      <c r="K16" s="18">
        <v>29</v>
      </c>
      <c r="L16" s="18">
        <v>61</v>
      </c>
      <c r="M16" s="18">
        <f t="shared" si="1"/>
        <v>90</v>
      </c>
    </row>
    <row r="17" spans="1:13" ht="15.75" customHeight="1" x14ac:dyDescent="0.3">
      <c r="A17" s="8" t="s">
        <v>36</v>
      </c>
      <c r="B17" s="8" t="s">
        <v>58</v>
      </c>
      <c r="C17" s="16">
        <v>2749.69</v>
      </c>
      <c r="D17" s="17">
        <v>45</v>
      </c>
      <c r="E17" s="17">
        <v>53</v>
      </c>
      <c r="F17" s="17">
        <f t="shared" si="0"/>
        <v>98</v>
      </c>
      <c r="H17" s="8" t="s">
        <v>36</v>
      </c>
      <c r="I17" s="8" t="s">
        <v>58</v>
      </c>
      <c r="J17" s="19">
        <v>-3002.83</v>
      </c>
      <c r="K17" s="17">
        <v>34</v>
      </c>
      <c r="L17" s="17">
        <v>67</v>
      </c>
      <c r="M17" s="17">
        <f t="shared" si="1"/>
        <v>101</v>
      </c>
    </row>
    <row r="18" spans="1:13" ht="15.75" customHeight="1" x14ac:dyDescent="0.3">
      <c r="A18" s="11" t="s">
        <v>38</v>
      </c>
      <c r="B18" s="11" t="s">
        <v>58</v>
      </c>
      <c r="C18" s="16">
        <v>2557.65</v>
      </c>
      <c r="D18" s="18">
        <v>42</v>
      </c>
      <c r="E18" s="18">
        <v>46</v>
      </c>
      <c r="F18" s="18">
        <f t="shared" si="0"/>
        <v>88</v>
      </c>
      <c r="H18" s="11" t="s">
        <v>38</v>
      </c>
      <c r="I18" s="11" t="s">
        <v>58</v>
      </c>
      <c r="J18" s="19">
        <v>-4103.6000000000004</v>
      </c>
      <c r="K18" s="18">
        <v>26</v>
      </c>
      <c r="L18" s="18">
        <v>61</v>
      </c>
      <c r="M18" s="18">
        <f t="shared" si="1"/>
        <v>87</v>
      </c>
    </row>
    <row r="19" spans="1:13" ht="15.75" customHeight="1" x14ac:dyDescent="0.3">
      <c r="A19" s="8" t="s">
        <v>40</v>
      </c>
      <c r="B19" s="8" t="s">
        <v>58</v>
      </c>
      <c r="C19" s="19">
        <v>-20.85</v>
      </c>
      <c r="D19" s="17">
        <v>36</v>
      </c>
      <c r="E19" s="17">
        <v>56</v>
      </c>
      <c r="F19" s="17">
        <f t="shared" si="0"/>
        <v>92</v>
      </c>
      <c r="H19" s="8" t="s">
        <v>40</v>
      </c>
      <c r="I19" s="8" t="s">
        <v>58</v>
      </c>
      <c r="J19" s="19">
        <v>-513.29999999999995</v>
      </c>
      <c r="K19" s="17">
        <v>37</v>
      </c>
      <c r="L19" s="17">
        <v>51</v>
      </c>
      <c r="M19" s="17">
        <f t="shared" si="1"/>
        <v>88</v>
      </c>
    </row>
    <row r="20" spans="1:13" ht="15.75" customHeight="1" x14ac:dyDescent="0.3">
      <c r="A20" s="11" t="s">
        <v>42</v>
      </c>
      <c r="B20" s="11" t="s">
        <v>58</v>
      </c>
      <c r="C20" s="19">
        <v>-543.85</v>
      </c>
      <c r="D20" s="18">
        <v>34</v>
      </c>
      <c r="E20" s="18">
        <v>58</v>
      </c>
      <c r="F20" s="18">
        <f t="shared" si="0"/>
        <v>92</v>
      </c>
      <c r="H20" s="11" t="s">
        <v>42</v>
      </c>
      <c r="I20" s="11" t="s">
        <v>58</v>
      </c>
      <c r="J20" s="16">
        <v>1806.75</v>
      </c>
      <c r="K20" s="18">
        <v>38</v>
      </c>
      <c r="L20" s="18">
        <v>46</v>
      </c>
      <c r="M20" s="18">
        <f t="shared" si="1"/>
        <v>84</v>
      </c>
    </row>
    <row r="21" spans="1:13" ht="15.75" customHeight="1" x14ac:dyDescent="0.3">
      <c r="A21" s="8" t="s">
        <v>44</v>
      </c>
      <c r="B21" s="8" t="s">
        <v>58</v>
      </c>
      <c r="C21" s="16">
        <v>398.95</v>
      </c>
      <c r="D21" s="17">
        <v>35</v>
      </c>
      <c r="E21" s="17">
        <v>44</v>
      </c>
      <c r="F21" s="17">
        <f t="shared" si="0"/>
        <v>79</v>
      </c>
      <c r="H21" s="8" t="s">
        <v>44</v>
      </c>
      <c r="I21" s="8" t="s">
        <v>58</v>
      </c>
      <c r="J21" s="19">
        <v>-1344.8</v>
      </c>
      <c r="K21" s="17">
        <v>31</v>
      </c>
      <c r="L21" s="17">
        <v>47</v>
      </c>
      <c r="M21" s="17">
        <f t="shared" si="1"/>
        <v>78</v>
      </c>
    </row>
    <row r="22" spans="1:13" ht="18" customHeight="1" x14ac:dyDescent="0.3">
      <c r="A22" s="20" t="s">
        <v>59</v>
      </c>
      <c r="B22" s="20"/>
      <c r="C22" s="21">
        <f>SUM(C7:C21)</f>
        <v>15615.72</v>
      </c>
      <c r="D22" s="22">
        <f>SUM(D7:D21)</f>
        <v>582</v>
      </c>
      <c r="E22" s="22">
        <f>SUM(E7:E21)</f>
        <v>817</v>
      </c>
      <c r="F22" s="22">
        <f>SUM(F7:F21)</f>
        <v>1399</v>
      </c>
      <c r="H22" s="20" t="s">
        <v>59</v>
      </c>
      <c r="I22" s="20"/>
      <c r="J22" s="23">
        <f>SUM(J7:J21)</f>
        <v>-25519.859999999993</v>
      </c>
      <c r="K22" s="22">
        <f>SUM(K7:K21)</f>
        <v>507</v>
      </c>
      <c r="L22" s="22">
        <f>SUM(L7:L21)</f>
        <v>871</v>
      </c>
      <c r="M22" s="22">
        <f>SUM(M7:M21)</f>
        <v>1378</v>
      </c>
    </row>
    <row r="23" spans="1:13" ht="7.5" customHeight="1" x14ac:dyDescent="0.3"/>
    <row r="24" spans="1:13" ht="19.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87" t="s">
        <v>51</v>
      </c>
      <c r="B25" s="87"/>
      <c r="C25" s="87"/>
      <c r="D25" s="87"/>
      <c r="E25" s="87"/>
      <c r="F25" s="87"/>
      <c r="H25" s="88" t="s">
        <v>52</v>
      </c>
      <c r="I25" s="88"/>
      <c r="J25" s="88"/>
      <c r="K25" s="88"/>
      <c r="L25" s="88"/>
      <c r="M25" s="88"/>
    </row>
    <row r="26" spans="1:13" ht="19.5" customHeight="1" x14ac:dyDescent="0.3">
      <c r="A26" s="14" t="s">
        <v>12</v>
      </c>
      <c r="B26" s="14" t="s">
        <v>53</v>
      </c>
      <c r="C26" s="14" t="s">
        <v>54</v>
      </c>
      <c r="D26" s="14" t="s">
        <v>55</v>
      </c>
      <c r="E26" s="14" t="s">
        <v>56</v>
      </c>
      <c r="F26" s="14" t="s">
        <v>57</v>
      </c>
      <c r="H26" s="15" t="s">
        <v>12</v>
      </c>
      <c r="I26" s="15" t="s">
        <v>53</v>
      </c>
      <c r="J26" s="15" t="s">
        <v>54</v>
      </c>
      <c r="K26" s="15" t="s">
        <v>55</v>
      </c>
      <c r="L26" s="15" t="s">
        <v>56</v>
      </c>
      <c r="M26" s="15" t="s">
        <v>57</v>
      </c>
    </row>
    <row r="27" spans="1:13" ht="15.75" customHeight="1" x14ac:dyDescent="0.3">
      <c r="A27" s="11" t="s">
        <v>16</v>
      </c>
      <c r="B27" s="11" t="s">
        <v>58</v>
      </c>
      <c r="C27" s="19">
        <v>-1746.2</v>
      </c>
      <c r="D27" s="18">
        <v>29</v>
      </c>
      <c r="E27" s="18">
        <v>55</v>
      </c>
      <c r="F27" s="18">
        <f t="shared" ref="F27:F41" si="2">SUM(D27,E27)</f>
        <v>84</v>
      </c>
      <c r="H27" s="11" t="s">
        <v>16</v>
      </c>
      <c r="I27" s="11" t="s">
        <v>58</v>
      </c>
      <c r="J27" s="16">
        <v>4687.3500000000004</v>
      </c>
      <c r="K27" s="18">
        <v>43</v>
      </c>
      <c r="L27" s="18">
        <v>37</v>
      </c>
      <c r="M27" s="18">
        <f t="shared" ref="M27:M41" si="3">SUM(K27,L27)</f>
        <v>80</v>
      </c>
    </row>
    <row r="28" spans="1:13" ht="15.75" customHeight="1" x14ac:dyDescent="0.3">
      <c r="A28" s="8" t="s">
        <v>18</v>
      </c>
      <c r="B28" s="8" t="s">
        <v>58</v>
      </c>
      <c r="C28" s="16">
        <v>218.35</v>
      </c>
      <c r="D28" s="17">
        <v>37</v>
      </c>
      <c r="E28" s="17">
        <v>55</v>
      </c>
      <c r="F28" s="17">
        <f t="shared" si="2"/>
        <v>92</v>
      </c>
      <c r="H28" s="8" t="s">
        <v>18</v>
      </c>
      <c r="I28" s="8" t="s">
        <v>58</v>
      </c>
      <c r="J28" s="19">
        <v>-1364.45</v>
      </c>
      <c r="K28" s="17">
        <v>37</v>
      </c>
      <c r="L28" s="17">
        <v>68</v>
      </c>
      <c r="M28" s="17">
        <f t="shared" si="3"/>
        <v>105</v>
      </c>
    </row>
    <row r="29" spans="1:13" ht="15.75" customHeight="1" x14ac:dyDescent="0.3">
      <c r="A29" s="11" t="s">
        <v>20</v>
      </c>
      <c r="B29" s="11" t="s">
        <v>58</v>
      </c>
      <c r="C29" s="19">
        <v>-1278.25</v>
      </c>
      <c r="D29" s="18">
        <v>35</v>
      </c>
      <c r="E29" s="18">
        <v>55</v>
      </c>
      <c r="F29" s="18">
        <f t="shared" si="2"/>
        <v>90</v>
      </c>
      <c r="H29" s="11" t="s">
        <v>20</v>
      </c>
      <c r="I29" s="11" t="s">
        <v>58</v>
      </c>
      <c r="J29" s="16">
        <v>708.4</v>
      </c>
      <c r="K29" s="18">
        <v>38</v>
      </c>
      <c r="L29" s="18">
        <v>51</v>
      </c>
      <c r="M29" s="18">
        <f t="shared" si="3"/>
        <v>89</v>
      </c>
    </row>
    <row r="30" spans="1:13" ht="15.75" customHeight="1" x14ac:dyDescent="0.3">
      <c r="A30" s="8" t="s">
        <v>22</v>
      </c>
      <c r="B30" s="8" t="s">
        <v>58</v>
      </c>
      <c r="C30" s="16">
        <v>589</v>
      </c>
      <c r="D30" s="17">
        <v>40</v>
      </c>
      <c r="E30" s="17">
        <v>56</v>
      </c>
      <c r="F30" s="17">
        <f t="shared" si="2"/>
        <v>96</v>
      </c>
      <c r="H30" s="8" t="s">
        <v>22</v>
      </c>
      <c r="I30" s="8" t="s">
        <v>58</v>
      </c>
      <c r="J30" s="16">
        <v>1937.05</v>
      </c>
      <c r="K30" s="17">
        <v>44</v>
      </c>
      <c r="L30" s="17">
        <v>52</v>
      </c>
      <c r="M30" s="17">
        <f t="shared" si="3"/>
        <v>96</v>
      </c>
    </row>
    <row r="31" spans="1:13" ht="15.75" customHeight="1" x14ac:dyDescent="0.3">
      <c r="A31" s="11" t="s">
        <v>24</v>
      </c>
      <c r="B31" s="11" t="s">
        <v>58</v>
      </c>
      <c r="C31" s="16">
        <v>495.85</v>
      </c>
      <c r="D31" s="18">
        <v>37</v>
      </c>
      <c r="E31" s="18">
        <v>48</v>
      </c>
      <c r="F31" s="18">
        <f t="shared" si="2"/>
        <v>85</v>
      </c>
      <c r="H31" s="11" t="s">
        <v>24</v>
      </c>
      <c r="I31" s="11" t="s">
        <v>58</v>
      </c>
      <c r="J31" s="16">
        <v>3307.75</v>
      </c>
      <c r="K31" s="18">
        <v>44</v>
      </c>
      <c r="L31" s="18">
        <v>53</v>
      </c>
      <c r="M31" s="18">
        <f t="shared" si="3"/>
        <v>97</v>
      </c>
    </row>
    <row r="32" spans="1:13" ht="15.75" customHeight="1" x14ac:dyDescent="0.3">
      <c r="A32" s="8" t="s">
        <v>26</v>
      </c>
      <c r="B32" s="8" t="s">
        <v>58</v>
      </c>
      <c r="C32" s="19">
        <v>-1021.5</v>
      </c>
      <c r="D32" s="17">
        <v>28</v>
      </c>
      <c r="E32" s="17">
        <v>41</v>
      </c>
      <c r="F32" s="17">
        <f t="shared" si="2"/>
        <v>69</v>
      </c>
      <c r="H32" s="8" t="s">
        <v>26</v>
      </c>
      <c r="I32" s="8" t="s">
        <v>58</v>
      </c>
      <c r="J32" s="16">
        <v>3516.65</v>
      </c>
      <c r="K32" s="17">
        <v>43</v>
      </c>
      <c r="L32" s="17">
        <v>27</v>
      </c>
      <c r="M32" s="17">
        <f t="shared" si="3"/>
        <v>70</v>
      </c>
    </row>
    <row r="33" spans="1:13" ht="15.75" customHeight="1" x14ac:dyDescent="0.3">
      <c r="A33" s="11" t="s">
        <v>28</v>
      </c>
      <c r="B33" s="11" t="s">
        <v>58</v>
      </c>
      <c r="C33" s="19">
        <v>-123.9</v>
      </c>
      <c r="D33" s="18">
        <v>37</v>
      </c>
      <c r="E33" s="18">
        <v>59</v>
      </c>
      <c r="F33" s="18">
        <f t="shared" si="2"/>
        <v>96</v>
      </c>
      <c r="H33" s="11" t="s">
        <v>28</v>
      </c>
      <c r="I33" s="11" t="s">
        <v>58</v>
      </c>
      <c r="J33" s="19">
        <v>-70.25</v>
      </c>
      <c r="K33" s="18">
        <v>39</v>
      </c>
      <c r="L33" s="18">
        <v>49</v>
      </c>
      <c r="M33" s="18">
        <f t="shared" si="3"/>
        <v>88</v>
      </c>
    </row>
    <row r="34" spans="1:13" ht="15.75" customHeight="1" x14ac:dyDescent="0.3">
      <c r="A34" s="8" t="s">
        <v>30</v>
      </c>
      <c r="B34" s="8" t="s">
        <v>58</v>
      </c>
      <c r="C34" s="16">
        <v>1101.05</v>
      </c>
      <c r="D34" s="17">
        <v>38</v>
      </c>
      <c r="E34" s="17">
        <v>51</v>
      </c>
      <c r="F34" s="17">
        <f t="shared" si="2"/>
        <v>89</v>
      </c>
      <c r="H34" s="8" t="s">
        <v>30</v>
      </c>
      <c r="I34" s="8" t="s">
        <v>58</v>
      </c>
      <c r="J34" s="19">
        <v>-440.3</v>
      </c>
      <c r="K34" s="17">
        <v>36</v>
      </c>
      <c r="L34" s="17">
        <v>46</v>
      </c>
      <c r="M34" s="17">
        <f t="shared" si="3"/>
        <v>82</v>
      </c>
    </row>
    <row r="35" spans="1:13" ht="15.75" customHeight="1" x14ac:dyDescent="0.3">
      <c r="A35" s="11" t="s">
        <v>32</v>
      </c>
      <c r="B35" s="11" t="s">
        <v>58</v>
      </c>
      <c r="C35" s="16">
        <v>0.9</v>
      </c>
      <c r="D35" s="18">
        <v>37</v>
      </c>
      <c r="E35" s="18">
        <v>47</v>
      </c>
      <c r="F35" s="18">
        <f t="shared" si="2"/>
        <v>84</v>
      </c>
      <c r="H35" s="11" t="s">
        <v>32</v>
      </c>
      <c r="I35" s="11" t="s">
        <v>58</v>
      </c>
      <c r="J35" s="16">
        <v>421.15</v>
      </c>
      <c r="K35" s="18">
        <v>32</v>
      </c>
      <c r="L35" s="18">
        <v>47</v>
      </c>
      <c r="M35" s="18">
        <f t="shared" si="3"/>
        <v>79</v>
      </c>
    </row>
    <row r="36" spans="1:13" ht="15.75" customHeight="1" x14ac:dyDescent="0.3">
      <c r="A36" s="8" t="s">
        <v>34</v>
      </c>
      <c r="B36" s="8" t="s">
        <v>58</v>
      </c>
      <c r="C36" s="16">
        <v>1870.58</v>
      </c>
      <c r="D36" s="17">
        <v>41</v>
      </c>
      <c r="E36" s="17">
        <v>48</v>
      </c>
      <c r="F36" s="17">
        <f t="shared" si="2"/>
        <v>89</v>
      </c>
      <c r="H36" s="8" t="s">
        <v>34</v>
      </c>
      <c r="I36" s="8" t="s">
        <v>58</v>
      </c>
      <c r="J36" s="19">
        <v>-140.63</v>
      </c>
      <c r="K36" s="17">
        <v>41</v>
      </c>
      <c r="L36" s="17">
        <v>51</v>
      </c>
      <c r="M36" s="17">
        <f t="shared" si="3"/>
        <v>92</v>
      </c>
    </row>
    <row r="37" spans="1:13" ht="15.75" customHeight="1" x14ac:dyDescent="0.3">
      <c r="A37" s="11" t="s">
        <v>36</v>
      </c>
      <c r="B37" s="11" t="s">
        <v>58</v>
      </c>
      <c r="C37" s="19">
        <v>-343.6</v>
      </c>
      <c r="D37" s="18">
        <v>33</v>
      </c>
      <c r="E37" s="18">
        <v>53</v>
      </c>
      <c r="F37" s="18">
        <f t="shared" si="2"/>
        <v>86</v>
      </c>
      <c r="H37" s="11" t="s">
        <v>36</v>
      </c>
      <c r="I37" s="11" t="s">
        <v>58</v>
      </c>
      <c r="J37" s="16">
        <v>5241.8</v>
      </c>
      <c r="K37" s="18">
        <v>44</v>
      </c>
      <c r="L37" s="18">
        <v>37</v>
      </c>
      <c r="M37" s="18">
        <f t="shared" si="3"/>
        <v>81</v>
      </c>
    </row>
    <row r="38" spans="1:13" ht="15.75" customHeight="1" x14ac:dyDescent="0.3">
      <c r="A38" s="8" t="s">
        <v>38</v>
      </c>
      <c r="B38" s="8" t="s">
        <v>58</v>
      </c>
      <c r="C38" s="16">
        <v>1021.65</v>
      </c>
      <c r="D38" s="17">
        <v>38</v>
      </c>
      <c r="E38" s="17">
        <v>46</v>
      </c>
      <c r="F38" s="17">
        <f t="shared" si="2"/>
        <v>84</v>
      </c>
      <c r="H38" s="8" t="s">
        <v>38</v>
      </c>
      <c r="I38" s="8" t="s">
        <v>58</v>
      </c>
      <c r="J38" s="19">
        <v>-1070.3</v>
      </c>
      <c r="K38" s="17">
        <v>35</v>
      </c>
      <c r="L38" s="17">
        <v>52</v>
      </c>
      <c r="M38" s="17">
        <f t="shared" si="3"/>
        <v>87</v>
      </c>
    </row>
    <row r="39" spans="1:13" ht="15.75" customHeight="1" x14ac:dyDescent="0.3">
      <c r="A39" s="11" t="s">
        <v>40</v>
      </c>
      <c r="B39" s="11" t="s">
        <v>58</v>
      </c>
      <c r="C39" s="19">
        <v>-334.95</v>
      </c>
      <c r="D39" s="18">
        <v>33</v>
      </c>
      <c r="E39" s="18">
        <v>47</v>
      </c>
      <c r="F39" s="18">
        <f t="shared" si="2"/>
        <v>80</v>
      </c>
      <c r="H39" s="11" t="s">
        <v>40</v>
      </c>
      <c r="I39" s="11" t="s">
        <v>58</v>
      </c>
      <c r="J39" s="16">
        <v>1462.3</v>
      </c>
      <c r="K39" s="18">
        <v>39</v>
      </c>
      <c r="L39" s="18">
        <v>36</v>
      </c>
      <c r="M39" s="18">
        <f t="shared" si="3"/>
        <v>75</v>
      </c>
    </row>
    <row r="40" spans="1:13" ht="15.75" customHeight="1" x14ac:dyDescent="0.3">
      <c r="A40" s="8" t="s">
        <v>42</v>
      </c>
      <c r="B40" s="8" t="s">
        <v>58</v>
      </c>
      <c r="C40" s="19">
        <v>-855.6</v>
      </c>
      <c r="D40" s="17">
        <v>34</v>
      </c>
      <c r="E40" s="17">
        <v>50</v>
      </c>
      <c r="F40" s="17">
        <f t="shared" si="2"/>
        <v>84</v>
      </c>
      <c r="H40" s="8" t="s">
        <v>42</v>
      </c>
      <c r="I40" s="8" t="s">
        <v>58</v>
      </c>
      <c r="J40" s="16">
        <v>32.5</v>
      </c>
      <c r="K40" s="17">
        <v>36</v>
      </c>
      <c r="L40" s="17">
        <v>46</v>
      </c>
      <c r="M40" s="17">
        <f t="shared" si="3"/>
        <v>82</v>
      </c>
    </row>
    <row r="41" spans="1:13" ht="15.75" customHeight="1" x14ac:dyDescent="0.3">
      <c r="A41" s="11" t="s">
        <v>44</v>
      </c>
      <c r="B41" s="11" t="s">
        <v>58</v>
      </c>
      <c r="C41" s="16">
        <v>1098.95</v>
      </c>
      <c r="D41" s="18">
        <v>39</v>
      </c>
      <c r="E41" s="18">
        <v>36</v>
      </c>
      <c r="F41" s="18">
        <f t="shared" si="2"/>
        <v>75</v>
      </c>
      <c r="H41" s="11" t="s">
        <v>44</v>
      </c>
      <c r="I41" s="11" t="s">
        <v>58</v>
      </c>
      <c r="J41" s="16">
        <v>246.3</v>
      </c>
      <c r="K41" s="18">
        <v>32</v>
      </c>
      <c r="L41" s="18">
        <v>40</v>
      </c>
      <c r="M41" s="18">
        <f t="shared" si="3"/>
        <v>72</v>
      </c>
    </row>
    <row r="42" spans="1:13" ht="18" customHeight="1" x14ac:dyDescent="0.3">
      <c r="A42" s="20" t="s">
        <v>59</v>
      </c>
      <c r="B42" s="20"/>
      <c r="C42" s="21">
        <f>SUM(C27:C41)</f>
        <v>692.32999999999947</v>
      </c>
      <c r="D42" s="22">
        <f>SUM(D27:D41)</f>
        <v>536</v>
      </c>
      <c r="E42" s="22">
        <f>SUM(E27:E41)</f>
        <v>747</v>
      </c>
      <c r="F42" s="22">
        <f>SUM(F27:F41)</f>
        <v>1283</v>
      </c>
      <c r="H42" s="24" t="s">
        <v>59</v>
      </c>
      <c r="I42" s="24"/>
      <c r="J42" s="21">
        <f>SUM(J27:J41)</f>
        <v>18475.32</v>
      </c>
      <c r="K42" s="22">
        <f>SUM(K27:K41)</f>
        <v>583</v>
      </c>
      <c r="L42" s="22">
        <f>SUM(L27:L41)</f>
        <v>692</v>
      </c>
      <c r="M42" s="22">
        <f>SUM(M27:M41)</f>
        <v>1275</v>
      </c>
    </row>
    <row r="43" spans="1:13" ht="7.5" customHeight="1" x14ac:dyDescent="0.3"/>
    <row r="44" spans="1:13" ht="19.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87" t="s">
        <v>51</v>
      </c>
      <c r="B45" s="87"/>
      <c r="C45" s="87"/>
      <c r="D45" s="87"/>
      <c r="E45" s="87"/>
      <c r="F45" s="87"/>
      <c r="H45" s="88" t="s">
        <v>52</v>
      </c>
      <c r="I45" s="88"/>
      <c r="J45" s="88"/>
      <c r="K45" s="88"/>
      <c r="L45" s="88"/>
      <c r="M45" s="88"/>
    </row>
    <row r="46" spans="1:13" ht="19.5" customHeight="1" x14ac:dyDescent="0.3">
      <c r="A46" s="14" t="s">
        <v>12</v>
      </c>
      <c r="B46" s="14" t="s">
        <v>53</v>
      </c>
      <c r="C46" s="14" t="s">
        <v>54</v>
      </c>
      <c r="D46" s="14" t="s">
        <v>55</v>
      </c>
      <c r="E46" s="14" t="s">
        <v>56</v>
      </c>
      <c r="F46" s="14" t="s">
        <v>57</v>
      </c>
      <c r="H46" s="15" t="s">
        <v>12</v>
      </c>
      <c r="I46" s="15" t="s">
        <v>53</v>
      </c>
      <c r="J46" s="15" t="s">
        <v>54</v>
      </c>
      <c r="K46" s="15" t="s">
        <v>55</v>
      </c>
      <c r="L46" s="15" t="s">
        <v>56</v>
      </c>
      <c r="M46" s="15" t="s">
        <v>57</v>
      </c>
    </row>
    <row r="47" spans="1:13" ht="15.75" customHeight="1" x14ac:dyDescent="0.3">
      <c r="A47" s="8" t="s">
        <v>16</v>
      </c>
      <c r="B47" s="8" t="s">
        <v>58</v>
      </c>
      <c r="C47" s="16">
        <v>185.5</v>
      </c>
      <c r="D47" s="17">
        <v>33</v>
      </c>
      <c r="E47" s="17">
        <v>45</v>
      </c>
      <c r="F47" s="17">
        <f t="shared" ref="F47:F61" si="4">SUM(D47,E47)</f>
        <v>78</v>
      </c>
      <c r="H47" s="8" t="s">
        <v>16</v>
      </c>
      <c r="I47" s="8" t="s">
        <v>58</v>
      </c>
      <c r="J47" s="16">
        <v>48.8</v>
      </c>
      <c r="K47" s="17">
        <v>36</v>
      </c>
      <c r="L47" s="17">
        <v>42</v>
      </c>
      <c r="M47" s="17">
        <f t="shared" ref="M47:M61" si="5">SUM(K47,L47)</f>
        <v>78</v>
      </c>
    </row>
    <row r="48" spans="1:13" ht="15.75" customHeight="1" x14ac:dyDescent="0.3">
      <c r="A48" s="11" t="s">
        <v>18</v>
      </c>
      <c r="B48" s="11" t="s">
        <v>58</v>
      </c>
      <c r="C48" s="19">
        <v>-3308.2</v>
      </c>
      <c r="D48" s="18">
        <v>26</v>
      </c>
      <c r="E48" s="18">
        <v>59</v>
      </c>
      <c r="F48" s="18">
        <f t="shared" si="4"/>
        <v>85</v>
      </c>
      <c r="H48" s="11" t="s">
        <v>18</v>
      </c>
      <c r="I48" s="11" t="s">
        <v>58</v>
      </c>
      <c r="J48" s="16">
        <v>3390.45</v>
      </c>
      <c r="K48" s="18">
        <v>40</v>
      </c>
      <c r="L48" s="18">
        <v>40</v>
      </c>
      <c r="M48" s="18">
        <f t="shared" si="5"/>
        <v>80</v>
      </c>
    </row>
    <row r="49" spans="1:13" ht="15.75" customHeight="1" x14ac:dyDescent="0.3">
      <c r="A49" s="8" t="s">
        <v>20</v>
      </c>
      <c r="B49" s="8" t="s">
        <v>58</v>
      </c>
      <c r="C49" s="16">
        <v>788.9</v>
      </c>
      <c r="D49" s="17">
        <v>37</v>
      </c>
      <c r="E49" s="17">
        <v>50</v>
      </c>
      <c r="F49" s="17">
        <f t="shared" si="4"/>
        <v>87</v>
      </c>
      <c r="H49" s="8" t="s">
        <v>20</v>
      </c>
      <c r="I49" s="8" t="s">
        <v>58</v>
      </c>
      <c r="J49" s="19">
        <v>-2739.95</v>
      </c>
      <c r="K49" s="17">
        <v>31</v>
      </c>
      <c r="L49" s="17">
        <v>62</v>
      </c>
      <c r="M49" s="17">
        <f t="shared" si="5"/>
        <v>93</v>
      </c>
    </row>
    <row r="50" spans="1:13" ht="15.75" customHeight="1" x14ac:dyDescent="0.3">
      <c r="A50" s="11" t="s">
        <v>22</v>
      </c>
      <c r="B50" s="11" t="s">
        <v>58</v>
      </c>
      <c r="C50" s="16">
        <v>1180.7</v>
      </c>
      <c r="D50" s="18">
        <v>34</v>
      </c>
      <c r="E50" s="18">
        <v>52</v>
      </c>
      <c r="F50" s="18">
        <f t="shared" si="4"/>
        <v>86</v>
      </c>
      <c r="H50" s="11" t="s">
        <v>22</v>
      </c>
      <c r="I50" s="11" t="s">
        <v>58</v>
      </c>
      <c r="J50" s="19">
        <v>-1270.55</v>
      </c>
      <c r="K50" s="18">
        <v>35</v>
      </c>
      <c r="L50" s="18">
        <v>59</v>
      </c>
      <c r="M50" s="18">
        <f t="shared" si="5"/>
        <v>94</v>
      </c>
    </row>
    <row r="51" spans="1:13" ht="15.75" customHeight="1" x14ac:dyDescent="0.3">
      <c r="A51" s="8" t="s">
        <v>24</v>
      </c>
      <c r="B51" s="8" t="s">
        <v>58</v>
      </c>
      <c r="C51" s="16">
        <v>695.3</v>
      </c>
      <c r="D51" s="17">
        <v>32</v>
      </c>
      <c r="E51" s="17">
        <v>43</v>
      </c>
      <c r="F51" s="17">
        <f t="shared" si="4"/>
        <v>75</v>
      </c>
      <c r="H51" s="8" t="s">
        <v>24</v>
      </c>
      <c r="I51" s="8" t="s">
        <v>58</v>
      </c>
      <c r="J51" s="16">
        <v>2333.1</v>
      </c>
      <c r="K51" s="17">
        <v>38</v>
      </c>
      <c r="L51" s="17">
        <v>46</v>
      </c>
      <c r="M51" s="17">
        <f t="shared" si="5"/>
        <v>84</v>
      </c>
    </row>
    <row r="52" spans="1:13" ht="15.75" customHeight="1" x14ac:dyDescent="0.3">
      <c r="A52" s="11" t="s">
        <v>26</v>
      </c>
      <c r="B52" s="11" t="s">
        <v>58</v>
      </c>
      <c r="C52" s="19">
        <v>-1202.05</v>
      </c>
      <c r="D52" s="18">
        <v>24</v>
      </c>
      <c r="E52" s="18">
        <v>42</v>
      </c>
      <c r="F52" s="18">
        <f t="shared" si="4"/>
        <v>66</v>
      </c>
      <c r="H52" s="11" t="s">
        <v>26</v>
      </c>
      <c r="I52" s="11" t="s">
        <v>58</v>
      </c>
      <c r="J52" s="16">
        <v>2392.6999999999998</v>
      </c>
      <c r="K52" s="18">
        <v>37</v>
      </c>
      <c r="L52" s="18">
        <v>27</v>
      </c>
      <c r="M52" s="18">
        <f t="shared" si="5"/>
        <v>64</v>
      </c>
    </row>
    <row r="53" spans="1:13" ht="15.75" customHeight="1" x14ac:dyDescent="0.3">
      <c r="A53" s="8" t="s">
        <v>28</v>
      </c>
      <c r="B53" s="8" t="s">
        <v>58</v>
      </c>
      <c r="C53" s="16">
        <v>821.8</v>
      </c>
      <c r="D53" s="17">
        <v>34</v>
      </c>
      <c r="E53" s="17">
        <v>45</v>
      </c>
      <c r="F53" s="17">
        <f t="shared" si="4"/>
        <v>79</v>
      </c>
      <c r="H53" s="8" t="s">
        <v>28</v>
      </c>
      <c r="I53" s="8" t="s">
        <v>58</v>
      </c>
      <c r="J53" s="16">
        <v>2725.75</v>
      </c>
      <c r="K53" s="17">
        <v>40</v>
      </c>
      <c r="L53" s="17">
        <v>46</v>
      </c>
      <c r="M53" s="17">
        <f t="shared" si="5"/>
        <v>86</v>
      </c>
    </row>
    <row r="54" spans="1:13" ht="15.75" customHeight="1" x14ac:dyDescent="0.3">
      <c r="A54" s="11" t="s">
        <v>30</v>
      </c>
      <c r="B54" s="11" t="s">
        <v>58</v>
      </c>
      <c r="C54" s="16">
        <v>3604.35</v>
      </c>
      <c r="D54" s="18">
        <v>41</v>
      </c>
      <c r="E54" s="18">
        <v>52</v>
      </c>
      <c r="F54" s="18">
        <f t="shared" si="4"/>
        <v>93</v>
      </c>
      <c r="H54" s="11" t="s">
        <v>30</v>
      </c>
      <c r="I54" s="11" t="s">
        <v>58</v>
      </c>
      <c r="J54" s="19">
        <v>-1305</v>
      </c>
      <c r="K54" s="18">
        <v>31</v>
      </c>
      <c r="L54" s="18">
        <v>54</v>
      </c>
      <c r="M54" s="18">
        <f t="shared" si="5"/>
        <v>85</v>
      </c>
    </row>
    <row r="55" spans="1:13" ht="15.75" customHeight="1" x14ac:dyDescent="0.3">
      <c r="A55" s="8" t="s">
        <v>32</v>
      </c>
      <c r="B55" s="8" t="s">
        <v>58</v>
      </c>
      <c r="C55" s="16">
        <v>2255.15</v>
      </c>
      <c r="D55" s="17">
        <v>38</v>
      </c>
      <c r="E55" s="17">
        <v>45</v>
      </c>
      <c r="F55" s="17">
        <f t="shared" si="4"/>
        <v>83</v>
      </c>
      <c r="H55" s="8" t="s">
        <v>32</v>
      </c>
      <c r="I55" s="8" t="s">
        <v>58</v>
      </c>
      <c r="J55" s="19">
        <v>-2433.9499999999998</v>
      </c>
      <c r="K55" s="17">
        <v>28</v>
      </c>
      <c r="L55" s="17">
        <v>53</v>
      </c>
      <c r="M55" s="17">
        <f t="shared" si="5"/>
        <v>81</v>
      </c>
    </row>
    <row r="56" spans="1:13" ht="15.75" customHeight="1" x14ac:dyDescent="0.3">
      <c r="A56" s="11" t="s">
        <v>34</v>
      </c>
      <c r="B56" s="11" t="s">
        <v>58</v>
      </c>
      <c r="C56" s="19">
        <v>-1576.58</v>
      </c>
      <c r="D56" s="18">
        <v>26</v>
      </c>
      <c r="E56" s="18">
        <v>54</v>
      </c>
      <c r="F56" s="18">
        <f t="shared" si="4"/>
        <v>80</v>
      </c>
      <c r="H56" s="11" t="s">
        <v>34</v>
      </c>
      <c r="I56" s="11" t="s">
        <v>58</v>
      </c>
      <c r="J56" s="16">
        <v>1264.9000000000001</v>
      </c>
      <c r="K56" s="18">
        <v>38</v>
      </c>
      <c r="L56" s="18">
        <v>41</v>
      </c>
      <c r="M56" s="18">
        <f t="shared" si="5"/>
        <v>79</v>
      </c>
    </row>
    <row r="57" spans="1:13" ht="15.75" customHeight="1" x14ac:dyDescent="0.3">
      <c r="A57" s="8" t="s">
        <v>36</v>
      </c>
      <c r="B57" s="8" t="s">
        <v>58</v>
      </c>
      <c r="C57" s="19">
        <v>-938.6</v>
      </c>
      <c r="D57" s="17">
        <v>36</v>
      </c>
      <c r="E57" s="17">
        <v>53</v>
      </c>
      <c r="F57" s="17">
        <f t="shared" si="4"/>
        <v>89</v>
      </c>
      <c r="H57" s="8" t="s">
        <v>36</v>
      </c>
      <c r="I57" s="8" t="s">
        <v>58</v>
      </c>
      <c r="J57" s="16">
        <v>1295.8499999999999</v>
      </c>
      <c r="K57" s="17">
        <v>38</v>
      </c>
      <c r="L57" s="17">
        <v>41</v>
      </c>
      <c r="M57" s="17">
        <f t="shared" si="5"/>
        <v>79</v>
      </c>
    </row>
    <row r="58" spans="1:13" ht="15.75" customHeight="1" x14ac:dyDescent="0.3">
      <c r="A58" s="11" t="s">
        <v>38</v>
      </c>
      <c r="B58" s="11" t="s">
        <v>58</v>
      </c>
      <c r="C58" s="16">
        <v>2845.85</v>
      </c>
      <c r="D58" s="18">
        <v>38</v>
      </c>
      <c r="E58" s="18">
        <v>29</v>
      </c>
      <c r="F58" s="18">
        <f t="shared" si="4"/>
        <v>67</v>
      </c>
      <c r="H58" s="11" t="s">
        <v>38</v>
      </c>
      <c r="I58" s="11" t="s">
        <v>58</v>
      </c>
      <c r="J58" s="19">
        <v>-499.45</v>
      </c>
      <c r="K58" s="18">
        <v>27</v>
      </c>
      <c r="L58" s="18">
        <v>45</v>
      </c>
      <c r="M58" s="18">
        <f t="shared" si="5"/>
        <v>72</v>
      </c>
    </row>
    <row r="59" spans="1:13" ht="15.75" customHeight="1" x14ac:dyDescent="0.3">
      <c r="A59" s="8" t="s">
        <v>40</v>
      </c>
      <c r="B59" s="8" t="s">
        <v>58</v>
      </c>
      <c r="C59" s="16">
        <v>3451.75</v>
      </c>
      <c r="D59" s="17">
        <v>40</v>
      </c>
      <c r="E59" s="17">
        <v>39</v>
      </c>
      <c r="F59" s="17">
        <f t="shared" si="4"/>
        <v>79</v>
      </c>
      <c r="H59" s="8" t="s">
        <v>40</v>
      </c>
      <c r="I59" s="8" t="s">
        <v>58</v>
      </c>
      <c r="J59" s="19">
        <v>-1100.55</v>
      </c>
      <c r="K59" s="17">
        <v>29</v>
      </c>
      <c r="L59" s="17">
        <v>46</v>
      </c>
      <c r="M59" s="17">
        <f t="shared" si="5"/>
        <v>75</v>
      </c>
    </row>
    <row r="60" spans="1:13" ht="15.75" customHeight="1" x14ac:dyDescent="0.3">
      <c r="A60" s="11" t="s">
        <v>42</v>
      </c>
      <c r="B60" s="11" t="s">
        <v>58</v>
      </c>
      <c r="C60" s="16">
        <v>1949.45</v>
      </c>
      <c r="D60" s="18">
        <v>35</v>
      </c>
      <c r="E60" s="18">
        <v>46</v>
      </c>
      <c r="F60" s="18">
        <f t="shared" si="4"/>
        <v>81</v>
      </c>
      <c r="H60" s="11" t="s">
        <v>42</v>
      </c>
      <c r="I60" s="11" t="s">
        <v>58</v>
      </c>
      <c r="J60" s="19">
        <v>-6212.3</v>
      </c>
      <c r="K60" s="18">
        <v>29</v>
      </c>
      <c r="L60" s="18">
        <v>58</v>
      </c>
      <c r="M60" s="18">
        <f t="shared" si="5"/>
        <v>87</v>
      </c>
    </row>
    <row r="61" spans="1:13" ht="15.75" customHeight="1" x14ac:dyDescent="0.3">
      <c r="A61" s="8" t="s">
        <v>44</v>
      </c>
      <c r="B61" s="8" t="s">
        <v>58</v>
      </c>
      <c r="C61" s="19">
        <v>-427.35</v>
      </c>
      <c r="D61" s="17">
        <v>28</v>
      </c>
      <c r="E61" s="17">
        <v>37</v>
      </c>
      <c r="F61" s="17">
        <f t="shared" si="4"/>
        <v>65</v>
      </c>
      <c r="H61" s="8" t="s">
        <v>44</v>
      </c>
      <c r="I61" s="8" t="s">
        <v>58</v>
      </c>
      <c r="J61" s="16">
        <v>1885.65</v>
      </c>
      <c r="K61" s="17">
        <v>37</v>
      </c>
      <c r="L61" s="17">
        <v>29</v>
      </c>
      <c r="M61" s="17">
        <f t="shared" si="5"/>
        <v>66</v>
      </c>
    </row>
    <row r="62" spans="1:13" ht="18" customHeight="1" x14ac:dyDescent="0.3">
      <c r="A62" s="20" t="s">
        <v>59</v>
      </c>
      <c r="B62" s="20"/>
      <c r="C62" s="21">
        <f>SUM(C47:C61)</f>
        <v>10325.970000000001</v>
      </c>
      <c r="D62" s="22">
        <f>SUM(D47:D61)</f>
        <v>502</v>
      </c>
      <c r="E62" s="22">
        <f>SUM(E47:E61)</f>
        <v>691</v>
      </c>
      <c r="F62" s="22">
        <f>SUM(F47:F61)</f>
        <v>1193</v>
      </c>
      <c r="H62" s="20" t="s">
        <v>59</v>
      </c>
      <c r="I62" s="20"/>
      <c r="J62" s="23">
        <f>SUM(J47:J61)</f>
        <v>-224.54999999999973</v>
      </c>
      <c r="K62" s="22">
        <f>SUM(K47:K61)</f>
        <v>514</v>
      </c>
      <c r="L62" s="22">
        <f>SUM(L47:L61)</f>
        <v>689</v>
      </c>
      <c r="M62" s="22">
        <f>SUM(M47:M61)</f>
        <v>1203</v>
      </c>
    </row>
    <row r="63" spans="1:13" ht="7.5" customHeight="1" x14ac:dyDescent="0.3"/>
    <row r="64" spans="1:13" ht="19.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87" t="s">
        <v>51</v>
      </c>
      <c r="B65" s="87"/>
      <c r="C65" s="87"/>
      <c r="D65" s="87"/>
      <c r="E65" s="87"/>
      <c r="F65" s="87"/>
      <c r="H65" s="88" t="s">
        <v>52</v>
      </c>
      <c r="I65" s="88"/>
      <c r="J65" s="88"/>
      <c r="K65" s="88"/>
      <c r="L65" s="88"/>
      <c r="M65" s="88"/>
    </row>
    <row r="66" spans="1:13" ht="19.5" customHeight="1" x14ac:dyDescent="0.3">
      <c r="A66" s="14" t="s">
        <v>12</v>
      </c>
      <c r="B66" s="14" t="s">
        <v>53</v>
      </c>
      <c r="C66" s="14" t="s">
        <v>54</v>
      </c>
      <c r="D66" s="14" t="s">
        <v>55</v>
      </c>
      <c r="E66" s="14" t="s">
        <v>56</v>
      </c>
      <c r="F66" s="14" t="s">
        <v>57</v>
      </c>
      <c r="H66" s="15" t="s">
        <v>12</v>
      </c>
      <c r="I66" s="15" t="s">
        <v>53</v>
      </c>
      <c r="J66" s="15" t="s">
        <v>54</v>
      </c>
      <c r="K66" s="15" t="s">
        <v>55</v>
      </c>
      <c r="L66" s="15" t="s">
        <v>56</v>
      </c>
      <c r="M66" s="15" t="s">
        <v>57</v>
      </c>
    </row>
    <row r="67" spans="1:13" ht="15.75" customHeight="1" x14ac:dyDescent="0.3">
      <c r="A67" s="11" t="s">
        <v>16</v>
      </c>
      <c r="B67" s="11" t="s">
        <v>58</v>
      </c>
      <c r="C67" s="16">
        <v>1657.8</v>
      </c>
      <c r="D67" s="18">
        <v>38</v>
      </c>
      <c r="E67" s="18">
        <v>47</v>
      </c>
      <c r="F67" s="18">
        <f t="shared" ref="F67:F81" si="6">SUM(D67,E67)</f>
        <v>85</v>
      </c>
      <c r="H67" s="11" t="s">
        <v>16</v>
      </c>
      <c r="I67" s="11" t="s">
        <v>58</v>
      </c>
      <c r="J67" s="16">
        <v>1268.2</v>
      </c>
      <c r="K67" s="18">
        <v>34</v>
      </c>
      <c r="L67" s="18">
        <v>39</v>
      </c>
      <c r="M67" s="18">
        <f t="shared" ref="M67:M81" si="7">SUM(K67,L67)</f>
        <v>73</v>
      </c>
    </row>
    <row r="68" spans="1:13" ht="15.75" customHeight="1" x14ac:dyDescent="0.3">
      <c r="A68" s="8" t="s">
        <v>18</v>
      </c>
      <c r="B68" s="8" t="s">
        <v>58</v>
      </c>
      <c r="C68" s="19">
        <v>-4010.8</v>
      </c>
      <c r="D68" s="17">
        <v>30</v>
      </c>
      <c r="E68" s="17">
        <v>63</v>
      </c>
      <c r="F68" s="17">
        <f t="shared" si="6"/>
        <v>93</v>
      </c>
      <c r="H68" s="8" t="s">
        <v>18</v>
      </c>
      <c r="I68" s="8" t="s">
        <v>58</v>
      </c>
      <c r="J68" s="16">
        <v>3056.15</v>
      </c>
      <c r="K68" s="17">
        <v>44</v>
      </c>
      <c r="L68" s="17">
        <v>51</v>
      </c>
      <c r="M68" s="17">
        <f t="shared" si="7"/>
        <v>95</v>
      </c>
    </row>
    <row r="69" spans="1:13" ht="15.75" customHeight="1" x14ac:dyDescent="0.3">
      <c r="A69" s="11" t="s">
        <v>20</v>
      </c>
      <c r="B69" s="11" t="s">
        <v>58</v>
      </c>
      <c r="C69" s="19">
        <v>-739.95</v>
      </c>
      <c r="D69" s="18">
        <v>34</v>
      </c>
      <c r="E69" s="18">
        <v>63</v>
      </c>
      <c r="F69" s="18">
        <f t="shared" si="6"/>
        <v>97</v>
      </c>
      <c r="H69" s="11" t="s">
        <v>20</v>
      </c>
      <c r="I69" s="11" t="s">
        <v>58</v>
      </c>
      <c r="J69" s="16">
        <v>4223.2</v>
      </c>
      <c r="K69" s="18">
        <v>44</v>
      </c>
      <c r="L69" s="18">
        <v>42</v>
      </c>
      <c r="M69" s="18">
        <f t="shared" si="7"/>
        <v>86</v>
      </c>
    </row>
    <row r="70" spans="1:13" ht="15.75" customHeight="1" x14ac:dyDescent="0.3">
      <c r="A70" s="8" t="s">
        <v>22</v>
      </c>
      <c r="B70" s="8" t="s">
        <v>58</v>
      </c>
      <c r="C70" s="19">
        <v>-1986.25</v>
      </c>
      <c r="D70" s="17">
        <v>43</v>
      </c>
      <c r="E70" s="17">
        <v>80</v>
      </c>
      <c r="F70" s="17">
        <f t="shared" si="6"/>
        <v>123</v>
      </c>
      <c r="H70" s="8" t="s">
        <v>22</v>
      </c>
      <c r="I70" s="8" t="s">
        <v>58</v>
      </c>
      <c r="J70" s="16">
        <v>106.25</v>
      </c>
      <c r="K70" s="17">
        <v>44</v>
      </c>
      <c r="L70" s="17">
        <v>72</v>
      </c>
      <c r="M70" s="17">
        <f t="shared" si="7"/>
        <v>116</v>
      </c>
    </row>
    <row r="71" spans="1:13" ht="15.75" customHeight="1" x14ac:dyDescent="0.3">
      <c r="A71" s="11" t="s">
        <v>24</v>
      </c>
      <c r="B71" s="11" t="s">
        <v>58</v>
      </c>
      <c r="C71" s="16">
        <v>1441.05</v>
      </c>
      <c r="D71" s="18">
        <v>42</v>
      </c>
      <c r="E71" s="18">
        <v>57</v>
      </c>
      <c r="F71" s="18">
        <f t="shared" si="6"/>
        <v>99</v>
      </c>
      <c r="H71" s="11" t="s">
        <v>24</v>
      </c>
      <c r="I71" s="11" t="s">
        <v>58</v>
      </c>
      <c r="J71" s="16">
        <v>3936.8</v>
      </c>
      <c r="K71" s="18">
        <v>48</v>
      </c>
      <c r="L71" s="18">
        <v>59</v>
      </c>
      <c r="M71" s="18">
        <f t="shared" si="7"/>
        <v>107</v>
      </c>
    </row>
    <row r="72" spans="1:13" ht="15.75" customHeight="1" x14ac:dyDescent="0.3">
      <c r="A72" s="8" t="s">
        <v>26</v>
      </c>
      <c r="B72" s="8" t="s">
        <v>58</v>
      </c>
      <c r="C72" s="19">
        <v>-1419.1</v>
      </c>
      <c r="D72" s="17">
        <v>33</v>
      </c>
      <c r="E72" s="17">
        <v>52</v>
      </c>
      <c r="F72" s="17">
        <f t="shared" si="6"/>
        <v>85</v>
      </c>
      <c r="H72" s="8" t="s">
        <v>26</v>
      </c>
      <c r="I72" s="8" t="s">
        <v>58</v>
      </c>
      <c r="J72" s="16">
        <v>1584.05</v>
      </c>
      <c r="K72" s="17">
        <v>35</v>
      </c>
      <c r="L72" s="17">
        <v>48</v>
      </c>
      <c r="M72" s="17">
        <f t="shared" si="7"/>
        <v>83</v>
      </c>
    </row>
    <row r="73" spans="1:13" ht="15.75" customHeight="1" x14ac:dyDescent="0.3">
      <c r="A73" s="11" t="s">
        <v>28</v>
      </c>
      <c r="B73" s="11" t="s">
        <v>58</v>
      </c>
      <c r="C73" s="19">
        <v>-1646.55</v>
      </c>
      <c r="D73" s="18">
        <v>35</v>
      </c>
      <c r="E73" s="18">
        <v>70</v>
      </c>
      <c r="F73" s="18">
        <f t="shared" si="6"/>
        <v>105</v>
      </c>
      <c r="H73" s="11" t="s">
        <v>28</v>
      </c>
      <c r="I73" s="11" t="s">
        <v>58</v>
      </c>
      <c r="J73" s="16">
        <v>6171.45</v>
      </c>
      <c r="K73" s="18">
        <v>50</v>
      </c>
      <c r="L73" s="18">
        <v>51</v>
      </c>
      <c r="M73" s="18">
        <f t="shared" si="7"/>
        <v>101</v>
      </c>
    </row>
    <row r="74" spans="1:13" ht="15.75" customHeight="1" x14ac:dyDescent="0.3">
      <c r="A74" s="8" t="s">
        <v>30</v>
      </c>
      <c r="B74" s="8" t="s">
        <v>58</v>
      </c>
      <c r="C74" s="19">
        <v>-928.8</v>
      </c>
      <c r="D74" s="17">
        <v>31</v>
      </c>
      <c r="E74" s="17">
        <v>58</v>
      </c>
      <c r="F74" s="17">
        <f t="shared" si="6"/>
        <v>89</v>
      </c>
      <c r="H74" s="8" t="s">
        <v>30</v>
      </c>
      <c r="I74" s="8" t="s">
        <v>58</v>
      </c>
      <c r="J74" s="16">
        <v>3373.6</v>
      </c>
      <c r="K74" s="17">
        <v>42</v>
      </c>
      <c r="L74" s="17">
        <v>51</v>
      </c>
      <c r="M74" s="17">
        <f t="shared" si="7"/>
        <v>93</v>
      </c>
    </row>
    <row r="75" spans="1:13" ht="15.75" customHeight="1" x14ac:dyDescent="0.3">
      <c r="A75" s="11" t="s">
        <v>32</v>
      </c>
      <c r="B75" s="11" t="s">
        <v>58</v>
      </c>
      <c r="C75" s="16">
        <v>3785.3</v>
      </c>
      <c r="D75" s="18">
        <v>45</v>
      </c>
      <c r="E75" s="18">
        <v>51</v>
      </c>
      <c r="F75" s="18">
        <f t="shared" si="6"/>
        <v>96</v>
      </c>
      <c r="H75" s="11" t="s">
        <v>32</v>
      </c>
      <c r="I75" s="11" t="s">
        <v>58</v>
      </c>
      <c r="J75" s="19">
        <v>-3088.15</v>
      </c>
      <c r="K75" s="18">
        <v>30</v>
      </c>
      <c r="L75" s="18">
        <v>64</v>
      </c>
      <c r="M75" s="18">
        <f t="shared" si="7"/>
        <v>94</v>
      </c>
    </row>
    <row r="76" spans="1:13" ht="15.75" customHeight="1" x14ac:dyDescent="0.3">
      <c r="A76" s="8" t="s">
        <v>34</v>
      </c>
      <c r="B76" s="8" t="s">
        <v>58</v>
      </c>
      <c r="C76" s="19">
        <v>-4358.2</v>
      </c>
      <c r="D76" s="17">
        <v>28</v>
      </c>
      <c r="E76" s="17">
        <v>69</v>
      </c>
      <c r="F76" s="17">
        <f t="shared" si="6"/>
        <v>97</v>
      </c>
      <c r="H76" s="8" t="s">
        <v>34</v>
      </c>
      <c r="I76" s="8" t="s">
        <v>58</v>
      </c>
      <c r="J76" s="16">
        <v>3330.85</v>
      </c>
      <c r="K76" s="17">
        <v>44</v>
      </c>
      <c r="L76" s="17">
        <v>51</v>
      </c>
      <c r="M76" s="17">
        <f t="shared" si="7"/>
        <v>95</v>
      </c>
    </row>
    <row r="77" spans="1:13" ht="15.75" customHeight="1" x14ac:dyDescent="0.3">
      <c r="A77" s="11" t="s">
        <v>36</v>
      </c>
      <c r="B77" s="11" t="s">
        <v>58</v>
      </c>
      <c r="C77" s="19">
        <v>-540.04999999999995</v>
      </c>
      <c r="D77" s="18">
        <v>41</v>
      </c>
      <c r="E77" s="18">
        <v>63</v>
      </c>
      <c r="F77" s="18">
        <f t="shared" si="6"/>
        <v>104</v>
      </c>
      <c r="H77" s="11" t="s">
        <v>36</v>
      </c>
      <c r="I77" s="11" t="s">
        <v>58</v>
      </c>
      <c r="J77" s="16">
        <v>4041.75</v>
      </c>
      <c r="K77" s="18">
        <v>45</v>
      </c>
      <c r="L77" s="18">
        <v>56</v>
      </c>
      <c r="M77" s="18">
        <f t="shared" si="7"/>
        <v>101</v>
      </c>
    </row>
    <row r="78" spans="1:13" ht="15.75" customHeight="1" x14ac:dyDescent="0.3">
      <c r="A78" s="8" t="s">
        <v>38</v>
      </c>
      <c r="B78" s="8" t="s">
        <v>58</v>
      </c>
      <c r="C78" s="16">
        <v>583.4</v>
      </c>
      <c r="D78" s="17">
        <v>37</v>
      </c>
      <c r="E78" s="17">
        <v>46</v>
      </c>
      <c r="F78" s="17">
        <f t="shared" si="6"/>
        <v>83</v>
      </c>
      <c r="H78" s="8" t="s">
        <v>38</v>
      </c>
      <c r="I78" s="8" t="s">
        <v>58</v>
      </c>
      <c r="J78" s="16">
        <v>1314.05</v>
      </c>
      <c r="K78" s="17">
        <v>36</v>
      </c>
      <c r="L78" s="17">
        <v>51</v>
      </c>
      <c r="M78" s="17">
        <f t="shared" si="7"/>
        <v>87</v>
      </c>
    </row>
    <row r="79" spans="1:13" ht="15.75" customHeight="1" x14ac:dyDescent="0.3">
      <c r="A79" s="11" t="s">
        <v>40</v>
      </c>
      <c r="B79" s="11" t="s">
        <v>58</v>
      </c>
      <c r="C79" s="19">
        <v>-3231.15</v>
      </c>
      <c r="D79" s="18">
        <v>29</v>
      </c>
      <c r="E79" s="18">
        <v>60</v>
      </c>
      <c r="F79" s="18">
        <f t="shared" si="6"/>
        <v>89</v>
      </c>
      <c r="H79" s="11" t="s">
        <v>40</v>
      </c>
      <c r="I79" s="11" t="s">
        <v>58</v>
      </c>
      <c r="J79" s="16">
        <v>5522.55</v>
      </c>
      <c r="K79" s="18">
        <v>45</v>
      </c>
      <c r="L79" s="18">
        <v>34</v>
      </c>
      <c r="M79" s="18">
        <f t="shared" si="7"/>
        <v>79</v>
      </c>
    </row>
    <row r="80" spans="1:13" ht="15.75" customHeight="1" x14ac:dyDescent="0.3">
      <c r="A80" s="8" t="s">
        <v>42</v>
      </c>
      <c r="B80" s="8" t="s">
        <v>58</v>
      </c>
      <c r="C80" s="19">
        <v>-766</v>
      </c>
      <c r="D80" s="17">
        <v>38</v>
      </c>
      <c r="E80" s="17">
        <v>53</v>
      </c>
      <c r="F80" s="17">
        <f t="shared" si="6"/>
        <v>91</v>
      </c>
      <c r="H80" s="8" t="s">
        <v>42</v>
      </c>
      <c r="I80" s="8" t="s">
        <v>58</v>
      </c>
      <c r="J80" s="16">
        <v>1154.5</v>
      </c>
      <c r="K80" s="17">
        <v>35</v>
      </c>
      <c r="L80" s="17">
        <v>53</v>
      </c>
      <c r="M80" s="17">
        <f t="shared" si="7"/>
        <v>88</v>
      </c>
    </row>
    <row r="81" spans="1:13" ht="15.75" customHeight="1" x14ac:dyDescent="0.3">
      <c r="A81" s="11" t="s">
        <v>44</v>
      </c>
      <c r="B81" s="11" t="s">
        <v>58</v>
      </c>
      <c r="C81" s="19">
        <v>-1102.3</v>
      </c>
      <c r="D81" s="18">
        <v>32</v>
      </c>
      <c r="E81" s="18">
        <v>45</v>
      </c>
      <c r="F81" s="18">
        <f t="shared" si="6"/>
        <v>77</v>
      </c>
      <c r="H81" s="11" t="s">
        <v>44</v>
      </c>
      <c r="I81" s="11" t="s">
        <v>58</v>
      </c>
      <c r="J81" s="16">
        <v>326.35000000000002</v>
      </c>
      <c r="K81" s="18">
        <v>35</v>
      </c>
      <c r="L81" s="18">
        <v>49</v>
      </c>
      <c r="M81" s="18">
        <f t="shared" si="7"/>
        <v>84</v>
      </c>
    </row>
    <row r="82" spans="1:13" ht="18" customHeight="1" x14ac:dyDescent="0.3">
      <c r="A82" s="20" t="s">
        <v>59</v>
      </c>
      <c r="B82" s="20"/>
      <c r="C82" s="23">
        <f>SUM(C67:C81)</f>
        <v>-13261.599999999999</v>
      </c>
      <c r="D82" s="22">
        <f>SUM(D67:D81)</f>
        <v>536</v>
      </c>
      <c r="E82" s="22">
        <f>SUM(E67:E81)</f>
        <v>877</v>
      </c>
      <c r="F82" s="22">
        <f>SUM(F67:F81)</f>
        <v>1413</v>
      </c>
      <c r="H82" s="20" t="s">
        <v>59</v>
      </c>
      <c r="I82" s="20"/>
      <c r="J82" s="21">
        <f>SUM(J67:J81)</f>
        <v>36321.599999999991</v>
      </c>
      <c r="K82" s="22">
        <f>SUM(K67:K81)</f>
        <v>611</v>
      </c>
      <c r="L82" s="22">
        <f>SUM(L67:L81)</f>
        <v>771</v>
      </c>
      <c r="M82" s="22">
        <f>SUM(M67:M81)</f>
        <v>1382</v>
      </c>
    </row>
    <row r="83" spans="1:13" ht="7.5" customHeight="1" x14ac:dyDescent="0.3"/>
    <row r="84" spans="1:13" ht="24" customHeight="1" x14ac:dyDescent="0.3">
      <c r="A84" s="89" t="s">
        <v>63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</row>
    <row r="85" spans="1:13" ht="18" customHeight="1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ht="18" customHeight="1" x14ac:dyDescent="0.3">
      <c r="A86" s="25"/>
      <c r="B86" s="25"/>
      <c r="C86" s="26" t="s">
        <v>66</v>
      </c>
      <c r="D86" s="27">
        <f>SUM(C22,C42,C62,C82)</f>
        <v>13372.420000000002</v>
      </c>
      <c r="E86" s="28">
        <f>SUM(D82,D62,D42,D22)</f>
        <v>2156</v>
      </c>
      <c r="F86" s="28">
        <f>SUM(E82,E62,E42,E22)</f>
        <v>3132</v>
      </c>
      <c r="G86" s="28">
        <f>SUM(E86:F86)</f>
        <v>5288</v>
      </c>
      <c r="H86" s="29">
        <f>E86/G86</f>
        <v>0.40771558245083206</v>
      </c>
      <c r="I86" s="30"/>
      <c r="J86" s="25"/>
      <c r="K86" s="25"/>
      <c r="L86" s="25"/>
      <c r="M86" s="25"/>
    </row>
    <row r="87" spans="1:13" ht="18" customHeight="1" x14ac:dyDescent="0.3">
      <c r="A87" s="31"/>
      <c r="B87" s="31"/>
      <c r="C87" s="32" t="s">
        <v>67</v>
      </c>
      <c r="D87" s="27">
        <f>SUM(J22,J42,J62,J82)</f>
        <v>29052.51</v>
      </c>
      <c r="E87" s="33">
        <f>SUM(K82,K62,K42,K22)</f>
        <v>2215</v>
      </c>
      <c r="F87" s="33">
        <f>SUM(L82,L62,L42,L22)</f>
        <v>3023</v>
      </c>
      <c r="G87" s="33">
        <f>SUM(E87:F87)</f>
        <v>5238</v>
      </c>
      <c r="H87" s="34">
        <f>E87/G87</f>
        <v>0.42287132493318058</v>
      </c>
      <c r="I87" s="35"/>
      <c r="J87" s="31"/>
      <c r="K87" s="31"/>
      <c r="L87" s="31"/>
      <c r="M87" s="31"/>
    </row>
    <row r="88" spans="1:13" ht="21.75" customHeight="1" x14ac:dyDescent="0.3">
      <c r="A88" s="36"/>
      <c r="B88" s="36"/>
      <c r="C88" s="1" t="s">
        <v>68</v>
      </c>
      <c r="D88" s="21">
        <f>SUM(D86:D87)</f>
        <v>42424.93</v>
      </c>
      <c r="E88" s="6">
        <f>SUM(E86:E87)</f>
        <v>4371</v>
      </c>
      <c r="F88" s="6">
        <f>SUM(F86:F87)</f>
        <v>6155</v>
      </c>
      <c r="G88" s="6">
        <f>SUM(G86:G87)</f>
        <v>10526</v>
      </c>
      <c r="H88" s="37">
        <f>AVERAGE(H86,H87)</f>
        <v>0.41529345369200632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M90"/>
  <sheetViews>
    <sheetView showGridLines="0"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" customWidth="1"/>
    <col min="4" max="4" width="8" customWidth="1"/>
    <col min="5" max="5" width="7" customWidth="1"/>
    <col min="6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87" t="s">
        <v>51</v>
      </c>
      <c r="B5" s="87"/>
      <c r="C5" s="87"/>
      <c r="D5" s="87"/>
      <c r="E5" s="87"/>
      <c r="F5" s="87"/>
      <c r="H5" s="88" t="s">
        <v>52</v>
      </c>
      <c r="I5" s="88"/>
      <c r="J5" s="88"/>
      <c r="K5" s="88"/>
      <c r="L5" s="88"/>
      <c r="M5" s="88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2">
        <v>-280.39999999999998</v>
      </c>
      <c r="D7" s="17">
        <v>18</v>
      </c>
      <c r="E7" s="17">
        <v>30</v>
      </c>
      <c r="F7" s="17">
        <f t="shared" ref="F7:F21" si="0">SUM(D7,E7)</f>
        <v>48</v>
      </c>
      <c r="H7" s="41" t="s">
        <v>16</v>
      </c>
      <c r="I7" s="17" t="s">
        <v>58</v>
      </c>
      <c r="J7" s="42">
        <v>-1082.5</v>
      </c>
      <c r="K7" s="17">
        <v>18</v>
      </c>
      <c r="L7" s="17">
        <v>30</v>
      </c>
      <c r="M7" s="17">
        <f t="shared" ref="M7:M21" si="1">SUM(K7,L7)</f>
        <v>48</v>
      </c>
    </row>
    <row r="8" spans="1:13" ht="15.75" customHeight="1" x14ac:dyDescent="0.3">
      <c r="A8" s="43" t="s">
        <v>18</v>
      </c>
      <c r="B8" s="18" t="s">
        <v>58</v>
      </c>
      <c r="C8" s="44">
        <v>620.75</v>
      </c>
      <c r="D8" s="18">
        <v>21</v>
      </c>
      <c r="E8" s="18">
        <v>32</v>
      </c>
      <c r="F8" s="18">
        <f t="shared" si="0"/>
        <v>53</v>
      </c>
      <c r="H8" s="43" t="s">
        <v>18</v>
      </c>
      <c r="I8" s="18" t="s">
        <v>58</v>
      </c>
      <c r="J8" s="42">
        <v>-2712.6</v>
      </c>
      <c r="K8" s="18">
        <v>13</v>
      </c>
      <c r="L8" s="18">
        <v>35</v>
      </c>
      <c r="M8" s="18">
        <f t="shared" si="1"/>
        <v>48</v>
      </c>
    </row>
    <row r="9" spans="1:13" ht="15.75" customHeight="1" x14ac:dyDescent="0.3">
      <c r="A9" s="41" t="s">
        <v>20</v>
      </c>
      <c r="B9" s="17" t="s">
        <v>58</v>
      </c>
      <c r="C9" s="44">
        <v>389.55</v>
      </c>
      <c r="D9" s="17">
        <v>16</v>
      </c>
      <c r="E9" s="17">
        <v>25</v>
      </c>
      <c r="F9" s="17">
        <f t="shared" si="0"/>
        <v>41</v>
      </c>
      <c r="H9" s="41" t="s">
        <v>20</v>
      </c>
      <c r="I9" s="17" t="s">
        <v>58</v>
      </c>
      <c r="J9" s="42">
        <v>-1140.8499999999999</v>
      </c>
      <c r="K9" s="17">
        <v>15</v>
      </c>
      <c r="L9" s="17">
        <v>29</v>
      </c>
      <c r="M9" s="17">
        <f t="shared" si="1"/>
        <v>44</v>
      </c>
    </row>
    <row r="10" spans="1:13" ht="15.75" customHeight="1" x14ac:dyDescent="0.3">
      <c r="A10" s="43" t="s">
        <v>22</v>
      </c>
      <c r="B10" s="18" t="s">
        <v>58</v>
      </c>
      <c r="C10" s="44">
        <v>837.4</v>
      </c>
      <c r="D10" s="18">
        <v>23</v>
      </c>
      <c r="E10" s="18">
        <v>31</v>
      </c>
      <c r="F10" s="18">
        <f t="shared" si="0"/>
        <v>54</v>
      </c>
      <c r="H10" s="43" t="s">
        <v>22</v>
      </c>
      <c r="I10" s="18" t="s">
        <v>58</v>
      </c>
      <c r="J10" s="44">
        <v>688.3</v>
      </c>
      <c r="K10" s="18">
        <v>22</v>
      </c>
      <c r="L10" s="18">
        <v>31</v>
      </c>
      <c r="M10" s="18">
        <f t="shared" si="1"/>
        <v>53</v>
      </c>
    </row>
    <row r="11" spans="1:13" ht="15.75" customHeight="1" x14ac:dyDescent="0.3">
      <c r="A11" s="41" t="s">
        <v>24</v>
      </c>
      <c r="B11" s="17" t="s">
        <v>58</v>
      </c>
      <c r="C11" s="44">
        <v>39.53</v>
      </c>
      <c r="D11" s="17">
        <v>24</v>
      </c>
      <c r="E11" s="17">
        <v>27</v>
      </c>
      <c r="F11" s="17">
        <f t="shared" si="0"/>
        <v>51</v>
      </c>
      <c r="H11" s="41" t="s">
        <v>24</v>
      </c>
      <c r="I11" s="17" t="s">
        <v>58</v>
      </c>
      <c r="J11" s="42">
        <v>-2462.54</v>
      </c>
      <c r="K11" s="17">
        <v>13</v>
      </c>
      <c r="L11" s="17">
        <v>33</v>
      </c>
      <c r="M11" s="17">
        <f t="shared" si="1"/>
        <v>46</v>
      </c>
    </row>
    <row r="12" spans="1:13" ht="15.75" customHeight="1" x14ac:dyDescent="0.3">
      <c r="A12" s="43" t="s">
        <v>26</v>
      </c>
      <c r="B12" s="18" t="s">
        <v>58</v>
      </c>
      <c r="C12" s="42">
        <v>-957.5</v>
      </c>
      <c r="D12" s="18">
        <v>18</v>
      </c>
      <c r="E12" s="18">
        <v>29</v>
      </c>
      <c r="F12" s="18">
        <f t="shared" si="0"/>
        <v>47</v>
      </c>
      <c r="H12" s="43" t="s">
        <v>26</v>
      </c>
      <c r="I12" s="18" t="s">
        <v>58</v>
      </c>
      <c r="J12" s="44">
        <v>1427</v>
      </c>
      <c r="K12" s="18">
        <v>27</v>
      </c>
      <c r="L12" s="18">
        <v>21</v>
      </c>
      <c r="M12" s="18">
        <f t="shared" si="1"/>
        <v>48</v>
      </c>
    </row>
    <row r="13" spans="1:13" ht="15.75" customHeight="1" x14ac:dyDescent="0.3">
      <c r="A13" s="41" t="s">
        <v>28</v>
      </c>
      <c r="B13" s="17" t="s">
        <v>58</v>
      </c>
      <c r="C13" s="42">
        <v>-1501.35</v>
      </c>
      <c r="D13" s="17">
        <v>25</v>
      </c>
      <c r="E13" s="17">
        <v>33</v>
      </c>
      <c r="F13" s="17">
        <f t="shared" si="0"/>
        <v>58</v>
      </c>
      <c r="H13" s="41" t="s">
        <v>28</v>
      </c>
      <c r="I13" s="17" t="s">
        <v>58</v>
      </c>
      <c r="J13" s="42">
        <v>-2030.5</v>
      </c>
      <c r="K13" s="17">
        <v>16</v>
      </c>
      <c r="L13" s="17">
        <v>39</v>
      </c>
      <c r="M13" s="17">
        <f t="shared" si="1"/>
        <v>55</v>
      </c>
    </row>
    <row r="14" spans="1:13" ht="15.75" customHeight="1" x14ac:dyDescent="0.3">
      <c r="A14" s="43" t="s">
        <v>30</v>
      </c>
      <c r="B14" s="18" t="s">
        <v>58</v>
      </c>
      <c r="C14" s="42">
        <v>-1753.05</v>
      </c>
      <c r="D14" s="18">
        <v>18</v>
      </c>
      <c r="E14" s="18">
        <v>35</v>
      </c>
      <c r="F14" s="18">
        <f t="shared" si="0"/>
        <v>53</v>
      </c>
      <c r="H14" s="43" t="s">
        <v>30</v>
      </c>
      <c r="I14" s="18" t="s">
        <v>58</v>
      </c>
      <c r="J14" s="42">
        <v>-813.9</v>
      </c>
      <c r="K14" s="18">
        <v>20</v>
      </c>
      <c r="L14" s="18">
        <v>32</v>
      </c>
      <c r="M14" s="18">
        <f t="shared" si="1"/>
        <v>52</v>
      </c>
    </row>
    <row r="15" spans="1:13" ht="15.75" customHeight="1" x14ac:dyDescent="0.3">
      <c r="A15" s="41" t="s">
        <v>32</v>
      </c>
      <c r="B15" s="17" t="s">
        <v>58</v>
      </c>
      <c r="C15" s="44">
        <v>2491.5500000000002</v>
      </c>
      <c r="D15" s="17">
        <v>26</v>
      </c>
      <c r="E15" s="17">
        <v>27</v>
      </c>
      <c r="F15" s="17">
        <f t="shared" si="0"/>
        <v>53</v>
      </c>
      <c r="H15" s="41" t="s">
        <v>32</v>
      </c>
      <c r="I15" s="17" t="s">
        <v>58</v>
      </c>
      <c r="J15" s="42">
        <v>-1571.1</v>
      </c>
      <c r="K15" s="17">
        <v>15</v>
      </c>
      <c r="L15" s="17">
        <v>33</v>
      </c>
      <c r="M15" s="17">
        <f t="shared" si="1"/>
        <v>48</v>
      </c>
    </row>
    <row r="16" spans="1:13" ht="15.75" customHeight="1" x14ac:dyDescent="0.3">
      <c r="A16" s="43" t="s">
        <v>34</v>
      </c>
      <c r="B16" s="18" t="s">
        <v>58</v>
      </c>
      <c r="C16" s="44">
        <v>2787.74</v>
      </c>
      <c r="D16" s="18">
        <v>23</v>
      </c>
      <c r="E16" s="18">
        <v>25</v>
      </c>
      <c r="F16" s="18">
        <f t="shared" si="0"/>
        <v>48</v>
      </c>
      <c r="H16" s="43" t="s">
        <v>34</v>
      </c>
      <c r="I16" s="18" t="s">
        <v>58</v>
      </c>
      <c r="J16" s="44">
        <v>41.61</v>
      </c>
      <c r="K16" s="18">
        <v>24</v>
      </c>
      <c r="L16" s="18">
        <v>32</v>
      </c>
      <c r="M16" s="18">
        <f t="shared" si="1"/>
        <v>56</v>
      </c>
    </row>
    <row r="17" spans="1:13" ht="15.75" customHeight="1" x14ac:dyDescent="0.3">
      <c r="A17" s="41" t="s">
        <v>36</v>
      </c>
      <c r="B17" s="17" t="s">
        <v>58</v>
      </c>
      <c r="C17" s="44">
        <v>522.15</v>
      </c>
      <c r="D17" s="17">
        <v>22</v>
      </c>
      <c r="E17" s="17">
        <v>32</v>
      </c>
      <c r="F17" s="17">
        <f t="shared" si="0"/>
        <v>54</v>
      </c>
      <c r="H17" s="41" t="s">
        <v>36</v>
      </c>
      <c r="I17" s="17" t="s">
        <v>58</v>
      </c>
      <c r="J17" s="42">
        <v>-1671.84</v>
      </c>
      <c r="K17" s="17">
        <v>20</v>
      </c>
      <c r="L17" s="17">
        <v>34</v>
      </c>
      <c r="M17" s="17">
        <f t="shared" si="1"/>
        <v>54</v>
      </c>
    </row>
    <row r="18" spans="1:13" ht="15.75" customHeight="1" x14ac:dyDescent="0.3">
      <c r="A18" s="43" t="s">
        <v>38</v>
      </c>
      <c r="B18" s="18" t="s">
        <v>58</v>
      </c>
      <c r="C18" s="44">
        <v>1544.2</v>
      </c>
      <c r="D18" s="18">
        <v>26</v>
      </c>
      <c r="E18" s="18">
        <v>21</v>
      </c>
      <c r="F18" s="18">
        <f t="shared" si="0"/>
        <v>47</v>
      </c>
      <c r="H18" s="43" t="s">
        <v>38</v>
      </c>
      <c r="I18" s="18" t="s">
        <v>58</v>
      </c>
      <c r="J18" s="42">
        <v>-1775.65</v>
      </c>
      <c r="K18" s="18">
        <v>18</v>
      </c>
      <c r="L18" s="18">
        <v>33</v>
      </c>
      <c r="M18" s="18">
        <f t="shared" si="1"/>
        <v>51</v>
      </c>
    </row>
    <row r="19" spans="1:13" ht="15.75" customHeight="1" x14ac:dyDescent="0.3">
      <c r="A19" s="41" t="s">
        <v>40</v>
      </c>
      <c r="B19" s="17" t="s">
        <v>58</v>
      </c>
      <c r="C19" s="42">
        <v>-132.15</v>
      </c>
      <c r="D19" s="17">
        <v>21</v>
      </c>
      <c r="E19" s="17">
        <v>29</v>
      </c>
      <c r="F19" s="17">
        <f t="shared" si="0"/>
        <v>50</v>
      </c>
      <c r="H19" s="41" t="s">
        <v>40</v>
      </c>
      <c r="I19" s="17" t="s">
        <v>58</v>
      </c>
      <c r="J19" s="42">
        <v>-580.54999999999995</v>
      </c>
      <c r="K19" s="17">
        <v>18</v>
      </c>
      <c r="L19" s="17">
        <v>32</v>
      </c>
      <c r="M19" s="17">
        <f t="shared" si="1"/>
        <v>50</v>
      </c>
    </row>
    <row r="20" spans="1:13" ht="15.75" customHeight="1" x14ac:dyDescent="0.3">
      <c r="A20" s="43" t="s">
        <v>42</v>
      </c>
      <c r="B20" s="18" t="s">
        <v>58</v>
      </c>
      <c r="C20" s="42">
        <v>-389.55</v>
      </c>
      <c r="D20" s="18">
        <v>19</v>
      </c>
      <c r="E20" s="18">
        <v>30</v>
      </c>
      <c r="F20" s="18">
        <f t="shared" si="0"/>
        <v>49</v>
      </c>
      <c r="H20" s="43" t="s">
        <v>42</v>
      </c>
      <c r="I20" s="18" t="s">
        <v>58</v>
      </c>
      <c r="J20" s="44">
        <v>1967.65</v>
      </c>
      <c r="K20" s="18">
        <v>25</v>
      </c>
      <c r="L20" s="18">
        <v>20</v>
      </c>
      <c r="M20" s="18">
        <f t="shared" si="1"/>
        <v>45</v>
      </c>
    </row>
    <row r="21" spans="1:13" ht="15.75" customHeight="1" x14ac:dyDescent="0.3">
      <c r="A21" s="41" t="s">
        <v>44</v>
      </c>
      <c r="B21" s="17" t="s">
        <v>58</v>
      </c>
      <c r="C21" s="44">
        <v>1560.4</v>
      </c>
      <c r="D21" s="17">
        <v>27</v>
      </c>
      <c r="E21" s="17">
        <v>18</v>
      </c>
      <c r="F21" s="17">
        <f t="shared" si="0"/>
        <v>45</v>
      </c>
      <c r="H21" s="41" t="s">
        <v>44</v>
      </c>
      <c r="I21" s="17" t="s">
        <v>58</v>
      </c>
      <c r="J21" s="42">
        <v>-787.8</v>
      </c>
      <c r="K21" s="17">
        <v>20</v>
      </c>
      <c r="L21" s="17">
        <v>25</v>
      </c>
      <c r="M21" s="17">
        <f t="shared" si="1"/>
        <v>45</v>
      </c>
    </row>
    <row r="22" spans="1:13" ht="24" customHeight="1" x14ac:dyDescent="0.3">
      <c r="A22" s="45" t="s">
        <v>59</v>
      </c>
      <c r="B22" s="45"/>
      <c r="C22" s="21">
        <f>SUM(C7:C21)</f>
        <v>5779.27</v>
      </c>
      <c r="D22" s="45">
        <f>SUM(D7:D21)</f>
        <v>327</v>
      </c>
      <c r="E22" s="45">
        <f>SUM(E7:E21)</f>
        <v>424</v>
      </c>
      <c r="F22" s="45">
        <f>SUM(F7:F21)</f>
        <v>751</v>
      </c>
      <c r="H22" s="45" t="s">
        <v>59</v>
      </c>
      <c r="I22" s="45"/>
      <c r="J22" s="23">
        <f>SUM(J7:J21)</f>
        <v>-12505.269999999997</v>
      </c>
      <c r="K22" s="45">
        <f>SUM(K7:K21)</f>
        <v>284</v>
      </c>
      <c r="L22" s="45">
        <f>SUM(L7:L21)</f>
        <v>459</v>
      </c>
      <c r="M22" s="45">
        <f>SUM(M7:M21)</f>
        <v>743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87" t="s">
        <v>51</v>
      </c>
      <c r="B25" s="87"/>
      <c r="C25" s="87"/>
      <c r="D25" s="87"/>
      <c r="E25" s="87"/>
      <c r="F25" s="87"/>
      <c r="H25" s="88" t="s">
        <v>52</v>
      </c>
      <c r="I25" s="88"/>
      <c r="J25" s="88"/>
      <c r="K25" s="88"/>
      <c r="L25" s="88"/>
      <c r="M25" s="88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-549.1</v>
      </c>
      <c r="D27" s="18">
        <v>18</v>
      </c>
      <c r="E27" s="18">
        <v>30</v>
      </c>
      <c r="F27" s="18">
        <f t="shared" ref="F27:F41" si="2">SUM(D27,E27)</f>
        <v>48</v>
      </c>
      <c r="H27" s="43" t="s">
        <v>16</v>
      </c>
      <c r="I27" s="18" t="s">
        <v>58</v>
      </c>
      <c r="J27" s="44">
        <v>27.9</v>
      </c>
      <c r="K27" s="18">
        <v>17</v>
      </c>
      <c r="L27" s="18">
        <v>29</v>
      </c>
      <c r="M27" s="18">
        <f t="shared" ref="M27:M41" si="3">SUM(K27,L27)</f>
        <v>46</v>
      </c>
    </row>
    <row r="28" spans="1:13" ht="15.75" customHeight="1" x14ac:dyDescent="0.3">
      <c r="A28" s="41" t="s">
        <v>18</v>
      </c>
      <c r="B28" s="17" t="s">
        <v>58</v>
      </c>
      <c r="C28" s="44">
        <v>1015.55</v>
      </c>
      <c r="D28" s="17">
        <v>19</v>
      </c>
      <c r="E28" s="17">
        <v>19</v>
      </c>
      <c r="F28" s="17">
        <f t="shared" si="2"/>
        <v>38</v>
      </c>
      <c r="H28" s="41" t="s">
        <v>18</v>
      </c>
      <c r="I28" s="17" t="s">
        <v>58</v>
      </c>
      <c r="J28" s="44">
        <v>463</v>
      </c>
      <c r="K28" s="17">
        <v>16</v>
      </c>
      <c r="L28" s="17">
        <v>18</v>
      </c>
      <c r="M28" s="17">
        <f t="shared" si="3"/>
        <v>34</v>
      </c>
    </row>
    <row r="29" spans="1:13" ht="15.75" customHeight="1" x14ac:dyDescent="0.3">
      <c r="A29" s="43" t="s">
        <v>20</v>
      </c>
      <c r="B29" s="18" t="s">
        <v>58</v>
      </c>
      <c r="C29" s="42">
        <v>-633.65</v>
      </c>
      <c r="D29" s="18">
        <v>21</v>
      </c>
      <c r="E29" s="18">
        <v>32</v>
      </c>
      <c r="F29" s="18">
        <f t="shared" si="2"/>
        <v>53</v>
      </c>
      <c r="H29" s="43" t="s">
        <v>20</v>
      </c>
      <c r="I29" s="18" t="s">
        <v>58</v>
      </c>
      <c r="J29" s="42">
        <v>-427.35</v>
      </c>
      <c r="K29" s="18">
        <v>21</v>
      </c>
      <c r="L29" s="18">
        <v>33</v>
      </c>
      <c r="M29" s="18">
        <f t="shared" si="3"/>
        <v>54</v>
      </c>
    </row>
    <row r="30" spans="1:13" ht="15.75" customHeight="1" x14ac:dyDescent="0.3">
      <c r="A30" s="41" t="s">
        <v>22</v>
      </c>
      <c r="B30" s="17" t="s">
        <v>58</v>
      </c>
      <c r="C30" s="44">
        <v>683.25</v>
      </c>
      <c r="D30" s="17">
        <v>21</v>
      </c>
      <c r="E30" s="17">
        <v>30</v>
      </c>
      <c r="F30" s="17">
        <f t="shared" si="2"/>
        <v>51</v>
      </c>
      <c r="H30" s="41" t="s">
        <v>22</v>
      </c>
      <c r="I30" s="17" t="s">
        <v>58</v>
      </c>
      <c r="J30" s="44">
        <v>728.2</v>
      </c>
      <c r="K30" s="17">
        <v>27</v>
      </c>
      <c r="L30" s="17">
        <v>27</v>
      </c>
      <c r="M30" s="17">
        <f t="shared" si="3"/>
        <v>54</v>
      </c>
    </row>
    <row r="31" spans="1:13" ht="15.75" customHeight="1" x14ac:dyDescent="0.3">
      <c r="A31" s="43" t="s">
        <v>24</v>
      </c>
      <c r="B31" s="18" t="s">
        <v>58</v>
      </c>
      <c r="C31" s="42">
        <v>-1799.35</v>
      </c>
      <c r="D31" s="18">
        <v>22</v>
      </c>
      <c r="E31" s="18">
        <v>36</v>
      </c>
      <c r="F31" s="18">
        <f t="shared" si="2"/>
        <v>58</v>
      </c>
      <c r="H31" s="43" t="s">
        <v>24</v>
      </c>
      <c r="I31" s="18" t="s">
        <v>58</v>
      </c>
      <c r="J31" s="44">
        <v>1731.25</v>
      </c>
      <c r="K31" s="18">
        <v>30</v>
      </c>
      <c r="L31" s="18">
        <v>30</v>
      </c>
      <c r="M31" s="18">
        <f t="shared" si="3"/>
        <v>60</v>
      </c>
    </row>
    <row r="32" spans="1:13" ht="15.75" customHeight="1" x14ac:dyDescent="0.3">
      <c r="A32" s="41" t="s">
        <v>26</v>
      </c>
      <c r="B32" s="17" t="s">
        <v>58</v>
      </c>
      <c r="C32" s="42">
        <v>-1412.35</v>
      </c>
      <c r="D32" s="17">
        <v>18</v>
      </c>
      <c r="E32" s="17">
        <v>30</v>
      </c>
      <c r="F32" s="17">
        <f t="shared" si="2"/>
        <v>48</v>
      </c>
      <c r="H32" s="41" t="s">
        <v>26</v>
      </c>
      <c r="I32" s="17" t="s">
        <v>58</v>
      </c>
      <c r="J32" s="44">
        <v>686.85</v>
      </c>
      <c r="K32" s="17">
        <v>30</v>
      </c>
      <c r="L32" s="17">
        <v>25</v>
      </c>
      <c r="M32" s="17">
        <f t="shared" si="3"/>
        <v>55</v>
      </c>
    </row>
    <row r="33" spans="1:13" ht="15.75" customHeight="1" x14ac:dyDescent="0.3">
      <c r="A33" s="43" t="s">
        <v>28</v>
      </c>
      <c r="B33" s="18" t="s">
        <v>58</v>
      </c>
      <c r="C33" s="44">
        <v>2170.6999999999998</v>
      </c>
      <c r="D33" s="18">
        <v>30</v>
      </c>
      <c r="E33" s="18">
        <v>23</v>
      </c>
      <c r="F33" s="18">
        <f t="shared" si="2"/>
        <v>53</v>
      </c>
      <c r="H33" s="43" t="s">
        <v>28</v>
      </c>
      <c r="I33" s="18" t="s">
        <v>58</v>
      </c>
      <c r="J33" s="44">
        <v>1324.15</v>
      </c>
      <c r="K33" s="18">
        <v>22</v>
      </c>
      <c r="L33" s="18">
        <v>27</v>
      </c>
      <c r="M33" s="18">
        <f t="shared" si="3"/>
        <v>49</v>
      </c>
    </row>
    <row r="34" spans="1:13" ht="15.75" customHeight="1" x14ac:dyDescent="0.3">
      <c r="A34" s="41" t="s">
        <v>30</v>
      </c>
      <c r="B34" s="17" t="s">
        <v>58</v>
      </c>
      <c r="C34" s="44">
        <v>2365.3000000000002</v>
      </c>
      <c r="D34" s="17">
        <v>31</v>
      </c>
      <c r="E34" s="17">
        <v>26</v>
      </c>
      <c r="F34" s="17">
        <f t="shared" si="2"/>
        <v>57</v>
      </c>
      <c r="H34" s="41" t="s">
        <v>30</v>
      </c>
      <c r="I34" s="17" t="s">
        <v>58</v>
      </c>
      <c r="J34" s="42">
        <v>-147.55000000000001</v>
      </c>
      <c r="K34" s="17">
        <v>21</v>
      </c>
      <c r="L34" s="17">
        <v>26</v>
      </c>
      <c r="M34" s="17">
        <f t="shared" si="3"/>
        <v>47</v>
      </c>
    </row>
    <row r="35" spans="1:13" ht="15.75" customHeight="1" x14ac:dyDescent="0.3">
      <c r="A35" s="43" t="s">
        <v>32</v>
      </c>
      <c r="B35" s="18" t="s">
        <v>58</v>
      </c>
      <c r="C35" s="44">
        <v>731.25</v>
      </c>
      <c r="D35" s="18">
        <v>24</v>
      </c>
      <c r="E35" s="18">
        <v>21</v>
      </c>
      <c r="F35" s="18">
        <f t="shared" si="2"/>
        <v>45</v>
      </c>
      <c r="H35" s="43" t="s">
        <v>32</v>
      </c>
      <c r="I35" s="18" t="s">
        <v>58</v>
      </c>
      <c r="J35" s="44">
        <v>1049.55</v>
      </c>
      <c r="K35" s="18">
        <v>19</v>
      </c>
      <c r="L35" s="18">
        <v>28</v>
      </c>
      <c r="M35" s="18">
        <f t="shared" si="3"/>
        <v>47</v>
      </c>
    </row>
    <row r="36" spans="1:13" ht="15.75" customHeight="1" x14ac:dyDescent="0.3">
      <c r="A36" s="41" t="s">
        <v>34</v>
      </c>
      <c r="B36" s="17" t="s">
        <v>58</v>
      </c>
      <c r="C36" s="44">
        <v>650.19000000000005</v>
      </c>
      <c r="D36" s="17">
        <v>26</v>
      </c>
      <c r="E36" s="17">
        <v>38</v>
      </c>
      <c r="F36" s="17">
        <f t="shared" si="2"/>
        <v>64</v>
      </c>
      <c r="H36" s="41" t="s">
        <v>34</v>
      </c>
      <c r="I36" s="17" t="s">
        <v>58</v>
      </c>
      <c r="J36" s="44">
        <v>283.66000000000003</v>
      </c>
      <c r="K36" s="17">
        <v>28</v>
      </c>
      <c r="L36" s="17">
        <v>31</v>
      </c>
      <c r="M36" s="17">
        <f t="shared" si="3"/>
        <v>59</v>
      </c>
    </row>
    <row r="37" spans="1:13" ht="15.75" customHeight="1" x14ac:dyDescent="0.3">
      <c r="A37" s="43" t="s">
        <v>36</v>
      </c>
      <c r="B37" s="18" t="s">
        <v>58</v>
      </c>
      <c r="C37" s="44">
        <v>471.55</v>
      </c>
      <c r="D37" s="18">
        <v>27</v>
      </c>
      <c r="E37" s="18">
        <v>34</v>
      </c>
      <c r="F37" s="18">
        <f t="shared" si="2"/>
        <v>61</v>
      </c>
      <c r="H37" s="43" t="s">
        <v>36</v>
      </c>
      <c r="I37" s="18" t="s">
        <v>58</v>
      </c>
      <c r="J37" s="44">
        <v>383.3</v>
      </c>
      <c r="K37" s="18">
        <v>28</v>
      </c>
      <c r="L37" s="18">
        <v>31</v>
      </c>
      <c r="M37" s="18">
        <f t="shared" si="3"/>
        <v>59</v>
      </c>
    </row>
    <row r="38" spans="1:13" ht="15.75" customHeight="1" x14ac:dyDescent="0.3">
      <c r="A38" s="41" t="s">
        <v>38</v>
      </c>
      <c r="B38" s="17" t="s">
        <v>58</v>
      </c>
      <c r="C38" s="44">
        <v>400.4</v>
      </c>
      <c r="D38" s="17">
        <v>27</v>
      </c>
      <c r="E38" s="17">
        <v>31</v>
      </c>
      <c r="F38" s="17">
        <f t="shared" si="2"/>
        <v>58</v>
      </c>
      <c r="H38" s="41" t="s">
        <v>38</v>
      </c>
      <c r="I38" s="17" t="s">
        <v>58</v>
      </c>
      <c r="J38" s="42">
        <v>-831.75</v>
      </c>
      <c r="K38" s="17">
        <v>24</v>
      </c>
      <c r="L38" s="17">
        <v>31</v>
      </c>
      <c r="M38" s="17">
        <f t="shared" si="3"/>
        <v>55</v>
      </c>
    </row>
    <row r="39" spans="1:13" ht="15.75" customHeight="1" x14ac:dyDescent="0.3">
      <c r="A39" s="43" t="s">
        <v>40</v>
      </c>
      <c r="B39" s="18" t="s">
        <v>58</v>
      </c>
      <c r="C39" s="44">
        <v>574.25</v>
      </c>
      <c r="D39" s="18">
        <v>22</v>
      </c>
      <c r="E39" s="18">
        <v>26</v>
      </c>
      <c r="F39" s="18">
        <f t="shared" si="2"/>
        <v>48</v>
      </c>
      <c r="H39" s="43" t="s">
        <v>40</v>
      </c>
      <c r="I39" s="18" t="s">
        <v>58</v>
      </c>
      <c r="J39" s="44">
        <v>72.55</v>
      </c>
      <c r="K39" s="18">
        <v>23</v>
      </c>
      <c r="L39" s="18">
        <v>27</v>
      </c>
      <c r="M39" s="18">
        <f t="shared" si="3"/>
        <v>50</v>
      </c>
    </row>
    <row r="40" spans="1:13" ht="15.75" customHeight="1" x14ac:dyDescent="0.3">
      <c r="A40" s="41" t="s">
        <v>42</v>
      </c>
      <c r="B40" s="17" t="s">
        <v>58</v>
      </c>
      <c r="C40" s="42">
        <v>-649.70000000000005</v>
      </c>
      <c r="D40" s="17">
        <v>22</v>
      </c>
      <c r="E40" s="17">
        <v>34</v>
      </c>
      <c r="F40" s="17">
        <f t="shared" si="2"/>
        <v>56</v>
      </c>
      <c r="H40" s="41" t="s">
        <v>42</v>
      </c>
      <c r="I40" s="17" t="s">
        <v>58</v>
      </c>
      <c r="J40" s="44">
        <v>710.95</v>
      </c>
      <c r="K40" s="17">
        <v>28</v>
      </c>
      <c r="L40" s="17">
        <v>24</v>
      </c>
      <c r="M40" s="17">
        <f t="shared" si="3"/>
        <v>52</v>
      </c>
    </row>
    <row r="41" spans="1:13" ht="15.75" customHeight="1" x14ac:dyDescent="0.3">
      <c r="A41" s="43" t="s">
        <v>44</v>
      </c>
      <c r="B41" s="18" t="s">
        <v>58</v>
      </c>
      <c r="C41" s="42">
        <v>-1500.65</v>
      </c>
      <c r="D41" s="18">
        <v>20</v>
      </c>
      <c r="E41" s="18">
        <v>30</v>
      </c>
      <c r="F41" s="18">
        <f t="shared" si="2"/>
        <v>50</v>
      </c>
      <c r="H41" s="43" t="s">
        <v>44</v>
      </c>
      <c r="I41" s="18" t="s">
        <v>58</v>
      </c>
      <c r="J41" s="44">
        <v>824.95</v>
      </c>
      <c r="K41" s="18">
        <v>25</v>
      </c>
      <c r="L41" s="18">
        <v>20</v>
      </c>
      <c r="M41" s="18">
        <f t="shared" si="3"/>
        <v>45</v>
      </c>
    </row>
    <row r="42" spans="1:13" ht="24" customHeight="1" x14ac:dyDescent="0.3">
      <c r="A42" s="45" t="s">
        <v>59</v>
      </c>
      <c r="B42" s="45"/>
      <c r="C42" s="21">
        <f>SUM(C27:C41)</f>
        <v>2517.6400000000008</v>
      </c>
      <c r="D42" s="45">
        <f>SUM(D27:D41)</f>
        <v>348</v>
      </c>
      <c r="E42" s="45">
        <f>SUM(E27:E41)</f>
        <v>440</v>
      </c>
      <c r="F42" s="45">
        <f>SUM(F27:F41)</f>
        <v>788</v>
      </c>
      <c r="H42" s="45" t="s">
        <v>59</v>
      </c>
      <c r="I42" s="45"/>
      <c r="J42" s="21">
        <f>SUM(J27:J41)</f>
        <v>6879.66</v>
      </c>
      <c r="K42" s="45">
        <f>SUM(K27:K41)</f>
        <v>359</v>
      </c>
      <c r="L42" s="45">
        <f>SUM(L27:L41)</f>
        <v>407</v>
      </c>
      <c r="M42" s="45">
        <f>SUM(M27:M41)</f>
        <v>766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87" t="s">
        <v>51</v>
      </c>
      <c r="B45" s="87"/>
      <c r="C45" s="87"/>
      <c r="D45" s="87"/>
      <c r="E45" s="87"/>
      <c r="F45" s="87"/>
      <c r="H45" s="88" t="s">
        <v>52</v>
      </c>
      <c r="I45" s="88"/>
      <c r="J45" s="88"/>
      <c r="K45" s="88"/>
      <c r="L45" s="88"/>
      <c r="M45" s="88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2">
        <v>-562.35</v>
      </c>
      <c r="D47" s="17">
        <v>20</v>
      </c>
      <c r="E47" s="17">
        <v>29</v>
      </c>
      <c r="F47" s="17">
        <f t="shared" ref="F47:F61" si="4">SUM(D47,E47)</f>
        <v>49</v>
      </c>
      <c r="H47" s="41" t="s">
        <v>16</v>
      </c>
      <c r="I47" s="17" t="s">
        <v>58</v>
      </c>
      <c r="J47" s="42">
        <v>-84.2</v>
      </c>
      <c r="K47" s="17">
        <v>21</v>
      </c>
      <c r="L47" s="17">
        <v>29</v>
      </c>
      <c r="M47" s="17">
        <f t="shared" ref="M47:M61" si="5">SUM(K47,L47)</f>
        <v>50</v>
      </c>
    </row>
    <row r="48" spans="1:13" ht="15.75" customHeight="1" x14ac:dyDescent="0.3">
      <c r="A48" s="43" t="s">
        <v>18</v>
      </c>
      <c r="B48" s="18" t="s">
        <v>58</v>
      </c>
      <c r="C48" s="42">
        <v>-25.95</v>
      </c>
      <c r="D48" s="18">
        <v>16</v>
      </c>
      <c r="E48" s="18">
        <v>31</v>
      </c>
      <c r="F48" s="18">
        <f t="shared" si="4"/>
        <v>47</v>
      </c>
      <c r="H48" s="43" t="s">
        <v>18</v>
      </c>
      <c r="I48" s="18" t="s">
        <v>58</v>
      </c>
      <c r="J48" s="44">
        <v>1237.3</v>
      </c>
      <c r="K48" s="18">
        <v>18</v>
      </c>
      <c r="L48" s="18">
        <v>24</v>
      </c>
      <c r="M48" s="18">
        <f t="shared" si="5"/>
        <v>42</v>
      </c>
    </row>
    <row r="49" spans="1:13" ht="15.75" customHeight="1" x14ac:dyDescent="0.3">
      <c r="A49" s="41" t="s">
        <v>20</v>
      </c>
      <c r="B49" s="17" t="s">
        <v>58</v>
      </c>
      <c r="C49" s="44">
        <v>1511.7</v>
      </c>
      <c r="D49" s="17">
        <v>26</v>
      </c>
      <c r="E49" s="17">
        <v>28</v>
      </c>
      <c r="F49" s="17">
        <f t="shared" si="4"/>
        <v>54</v>
      </c>
      <c r="H49" s="41" t="s">
        <v>20</v>
      </c>
      <c r="I49" s="17" t="s">
        <v>58</v>
      </c>
      <c r="J49" s="44">
        <v>785.7</v>
      </c>
      <c r="K49" s="17">
        <v>21</v>
      </c>
      <c r="L49" s="17">
        <v>28</v>
      </c>
      <c r="M49" s="17">
        <f t="shared" si="5"/>
        <v>49</v>
      </c>
    </row>
    <row r="50" spans="1:13" ht="15.75" customHeight="1" x14ac:dyDescent="0.3">
      <c r="A50" s="43" t="s">
        <v>22</v>
      </c>
      <c r="B50" s="18" t="s">
        <v>58</v>
      </c>
      <c r="C50" s="44">
        <v>2523.5500000000002</v>
      </c>
      <c r="D50" s="18">
        <v>24</v>
      </c>
      <c r="E50" s="18">
        <v>28</v>
      </c>
      <c r="F50" s="18">
        <f t="shared" si="4"/>
        <v>52</v>
      </c>
      <c r="H50" s="43" t="s">
        <v>22</v>
      </c>
      <c r="I50" s="18" t="s">
        <v>58</v>
      </c>
      <c r="J50" s="42">
        <v>-1004.8</v>
      </c>
      <c r="K50" s="18">
        <v>23</v>
      </c>
      <c r="L50" s="18">
        <v>35</v>
      </c>
      <c r="M50" s="18">
        <f t="shared" si="5"/>
        <v>58</v>
      </c>
    </row>
    <row r="51" spans="1:13" ht="15.75" customHeight="1" x14ac:dyDescent="0.3">
      <c r="A51" s="41" t="s">
        <v>24</v>
      </c>
      <c r="B51" s="17" t="s">
        <v>58</v>
      </c>
      <c r="C51" s="44">
        <v>946.4</v>
      </c>
      <c r="D51" s="17">
        <v>23</v>
      </c>
      <c r="E51" s="17">
        <v>27</v>
      </c>
      <c r="F51" s="17">
        <f t="shared" si="4"/>
        <v>50</v>
      </c>
      <c r="H51" s="41" t="s">
        <v>24</v>
      </c>
      <c r="I51" s="17" t="s">
        <v>58</v>
      </c>
      <c r="J51" s="44">
        <v>369.45</v>
      </c>
      <c r="K51" s="17">
        <v>27</v>
      </c>
      <c r="L51" s="17">
        <v>26</v>
      </c>
      <c r="M51" s="17">
        <f t="shared" si="5"/>
        <v>53</v>
      </c>
    </row>
    <row r="52" spans="1:13" ht="15.75" customHeight="1" x14ac:dyDescent="0.3">
      <c r="A52" s="43" t="s">
        <v>26</v>
      </c>
      <c r="B52" s="18" t="s">
        <v>58</v>
      </c>
      <c r="C52" s="42">
        <v>-399.1</v>
      </c>
      <c r="D52" s="18">
        <v>18</v>
      </c>
      <c r="E52" s="18">
        <v>31</v>
      </c>
      <c r="F52" s="18">
        <f t="shared" si="4"/>
        <v>49</v>
      </c>
      <c r="H52" s="43" t="s">
        <v>26</v>
      </c>
      <c r="I52" s="18" t="s">
        <v>58</v>
      </c>
      <c r="J52" s="44">
        <v>1133.95</v>
      </c>
      <c r="K52" s="18">
        <v>23</v>
      </c>
      <c r="L52" s="18">
        <v>31</v>
      </c>
      <c r="M52" s="18">
        <f t="shared" si="5"/>
        <v>54</v>
      </c>
    </row>
    <row r="53" spans="1:13" ht="15.75" customHeight="1" x14ac:dyDescent="0.3">
      <c r="A53" s="41" t="s">
        <v>28</v>
      </c>
      <c r="B53" s="17" t="s">
        <v>58</v>
      </c>
      <c r="C53" s="44">
        <v>2023</v>
      </c>
      <c r="D53" s="17">
        <v>23</v>
      </c>
      <c r="E53" s="17">
        <v>19</v>
      </c>
      <c r="F53" s="17">
        <f t="shared" si="4"/>
        <v>42</v>
      </c>
      <c r="H53" s="41" t="s">
        <v>28</v>
      </c>
      <c r="I53" s="17" t="s">
        <v>58</v>
      </c>
      <c r="J53" s="44">
        <v>2067.9499999999998</v>
      </c>
      <c r="K53" s="17">
        <v>21</v>
      </c>
      <c r="L53" s="17">
        <v>24</v>
      </c>
      <c r="M53" s="17">
        <f t="shared" si="5"/>
        <v>45</v>
      </c>
    </row>
    <row r="54" spans="1:13" ht="15.75" customHeight="1" x14ac:dyDescent="0.3">
      <c r="A54" s="43" t="s">
        <v>30</v>
      </c>
      <c r="B54" s="18" t="s">
        <v>58</v>
      </c>
      <c r="C54" s="44">
        <v>3194.35</v>
      </c>
      <c r="D54" s="18">
        <v>25</v>
      </c>
      <c r="E54" s="18">
        <v>28</v>
      </c>
      <c r="F54" s="18">
        <f t="shared" si="4"/>
        <v>53</v>
      </c>
      <c r="H54" s="43" t="s">
        <v>30</v>
      </c>
      <c r="I54" s="18" t="s">
        <v>58</v>
      </c>
      <c r="J54" s="44">
        <v>490.15</v>
      </c>
      <c r="K54" s="18">
        <v>21</v>
      </c>
      <c r="L54" s="18">
        <v>29</v>
      </c>
      <c r="M54" s="18">
        <f t="shared" si="5"/>
        <v>50</v>
      </c>
    </row>
    <row r="55" spans="1:13" ht="15.75" customHeight="1" x14ac:dyDescent="0.3">
      <c r="A55" s="41" t="s">
        <v>32</v>
      </c>
      <c r="B55" s="17" t="s">
        <v>58</v>
      </c>
      <c r="C55" s="44">
        <v>2125.4</v>
      </c>
      <c r="D55" s="17">
        <v>27</v>
      </c>
      <c r="E55" s="17">
        <v>28</v>
      </c>
      <c r="F55" s="17">
        <f t="shared" si="4"/>
        <v>55</v>
      </c>
      <c r="H55" s="41" t="s">
        <v>32</v>
      </c>
      <c r="I55" s="17" t="s">
        <v>58</v>
      </c>
      <c r="J55" s="42">
        <v>-1544.3</v>
      </c>
      <c r="K55" s="17">
        <v>15</v>
      </c>
      <c r="L55" s="17">
        <v>31</v>
      </c>
      <c r="M55" s="17">
        <f t="shared" si="5"/>
        <v>46</v>
      </c>
    </row>
    <row r="56" spans="1:13" ht="15.75" customHeight="1" x14ac:dyDescent="0.3">
      <c r="A56" s="43" t="s">
        <v>34</v>
      </c>
      <c r="B56" s="18" t="s">
        <v>58</v>
      </c>
      <c r="C56" s="42">
        <v>-209.78</v>
      </c>
      <c r="D56" s="18">
        <v>20</v>
      </c>
      <c r="E56" s="18">
        <v>34</v>
      </c>
      <c r="F56" s="18">
        <f t="shared" si="4"/>
        <v>54</v>
      </c>
      <c r="H56" s="43" t="s">
        <v>34</v>
      </c>
      <c r="I56" s="18" t="s">
        <v>58</v>
      </c>
      <c r="J56" s="42">
        <v>-266.95</v>
      </c>
      <c r="K56" s="18">
        <v>23</v>
      </c>
      <c r="L56" s="18">
        <v>30</v>
      </c>
      <c r="M56" s="18">
        <f t="shared" si="5"/>
        <v>53</v>
      </c>
    </row>
    <row r="57" spans="1:13" ht="15.75" customHeight="1" x14ac:dyDescent="0.3">
      <c r="A57" s="41" t="s">
        <v>36</v>
      </c>
      <c r="B57" s="17" t="s">
        <v>58</v>
      </c>
      <c r="C57" s="42">
        <v>-548.15</v>
      </c>
      <c r="D57" s="17">
        <v>19</v>
      </c>
      <c r="E57" s="17">
        <v>36</v>
      </c>
      <c r="F57" s="17">
        <f t="shared" si="4"/>
        <v>55</v>
      </c>
      <c r="H57" s="41" t="s">
        <v>36</v>
      </c>
      <c r="I57" s="17" t="s">
        <v>58</v>
      </c>
      <c r="J57" s="42">
        <v>-839.4</v>
      </c>
      <c r="K57" s="17">
        <v>25</v>
      </c>
      <c r="L57" s="17">
        <v>31</v>
      </c>
      <c r="M57" s="17">
        <f t="shared" si="5"/>
        <v>56</v>
      </c>
    </row>
    <row r="58" spans="1:13" ht="15.75" customHeight="1" x14ac:dyDescent="0.3">
      <c r="A58" s="43" t="s">
        <v>38</v>
      </c>
      <c r="B58" s="18" t="s">
        <v>58</v>
      </c>
      <c r="C58" s="44">
        <v>1397.3</v>
      </c>
      <c r="D58" s="18">
        <v>24</v>
      </c>
      <c r="E58" s="18">
        <v>26</v>
      </c>
      <c r="F58" s="18">
        <f t="shared" si="4"/>
        <v>50</v>
      </c>
      <c r="H58" s="43" t="s">
        <v>38</v>
      </c>
      <c r="I58" s="18" t="s">
        <v>58</v>
      </c>
      <c r="J58" s="42">
        <v>-1458.95</v>
      </c>
      <c r="K58" s="18">
        <v>20</v>
      </c>
      <c r="L58" s="18">
        <v>28</v>
      </c>
      <c r="M58" s="18">
        <f t="shared" si="5"/>
        <v>48</v>
      </c>
    </row>
    <row r="59" spans="1:13" ht="15.75" customHeight="1" x14ac:dyDescent="0.3">
      <c r="A59" s="41" t="s">
        <v>40</v>
      </c>
      <c r="B59" s="17" t="s">
        <v>58</v>
      </c>
      <c r="C59" s="44">
        <v>1939.65</v>
      </c>
      <c r="D59" s="17">
        <v>26</v>
      </c>
      <c r="E59" s="17">
        <v>18</v>
      </c>
      <c r="F59" s="17">
        <f t="shared" si="4"/>
        <v>44</v>
      </c>
      <c r="H59" s="41" t="s">
        <v>40</v>
      </c>
      <c r="I59" s="17" t="s">
        <v>58</v>
      </c>
      <c r="J59" s="44">
        <v>929.7</v>
      </c>
      <c r="K59" s="17">
        <v>22</v>
      </c>
      <c r="L59" s="17">
        <v>24</v>
      </c>
      <c r="M59" s="17">
        <f t="shared" si="5"/>
        <v>46</v>
      </c>
    </row>
    <row r="60" spans="1:13" ht="15.75" customHeight="1" x14ac:dyDescent="0.3">
      <c r="A60" s="43" t="s">
        <v>42</v>
      </c>
      <c r="B60" s="18" t="s">
        <v>58</v>
      </c>
      <c r="C60" s="44">
        <v>1126.45</v>
      </c>
      <c r="D60" s="18">
        <v>18</v>
      </c>
      <c r="E60" s="18">
        <v>27</v>
      </c>
      <c r="F60" s="18">
        <f t="shared" si="4"/>
        <v>45</v>
      </c>
      <c r="H60" s="43" t="s">
        <v>42</v>
      </c>
      <c r="I60" s="18" t="s">
        <v>58</v>
      </c>
      <c r="J60" s="42">
        <v>-1086.5999999999999</v>
      </c>
      <c r="K60" s="18">
        <v>19</v>
      </c>
      <c r="L60" s="18">
        <v>25</v>
      </c>
      <c r="M60" s="18">
        <f t="shared" si="5"/>
        <v>44</v>
      </c>
    </row>
    <row r="61" spans="1:13" ht="15.75" customHeight="1" x14ac:dyDescent="0.3">
      <c r="A61" s="41" t="s">
        <v>44</v>
      </c>
      <c r="B61" s="17" t="s">
        <v>58</v>
      </c>
      <c r="C61" s="44">
        <v>352.5</v>
      </c>
      <c r="D61" s="17">
        <v>18</v>
      </c>
      <c r="E61" s="17">
        <v>23</v>
      </c>
      <c r="F61" s="17">
        <f t="shared" si="4"/>
        <v>41</v>
      </c>
      <c r="H61" s="41" t="s">
        <v>44</v>
      </c>
      <c r="I61" s="17" t="s">
        <v>58</v>
      </c>
      <c r="J61" s="44">
        <v>2063.85</v>
      </c>
      <c r="K61" s="17">
        <v>24</v>
      </c>
      <c r="L61" s="17">
        <v>19</v>
      </c>
      <c r="M61" s="17">
        <f t="shared" si="5"/>
        <v>43</v>
      </c>
    </row>
    <row r="62" spans="1:13" ht="24" customHeight="1" x14ac:dyDescent="0.3">
      <c r="A62" s="45" t="s">
        <v>59</v>
      </c>
      <c r="B62" s="45"/>
      <c r="C62" s="21">
        <f>SUM(C47:C61)</f>
        <v>15394.97</v>
      </c>
      <c r="D62" s="45">
        <f>SUM(D47:D61)</f>
        <v>327</v>
      </c>
      <c r="E62" s="45">
        <f>SUM(E47:E61)</f>
        <v>413</v>
      </c>
      <c r="F62" s="45">
        <f>SUM(F47:F61)</f>
        <v>740</v>
      </c>
      <c r="H62" s="45" t="s">
        <v>59</v>
      </c>
      <c r="I62" s="45"/>
      <c r="J62" s="23">
        <f>SUM(J47:J61)</f>
        <v>2792.85</v>
      </c>
      <c r="K62" s="45">
        <f>SUM(K47:K61)</f>
        <v>323</v>
      </c>
      <c r="L62" s="45">
        <f>SUM(L47:L61)</f>
        <v>414</v>
      </c>
      <c r="M62" s="45">
        <f>SUM(M47:M61)</f>
        <v>737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87" t="s">
        <v>51</v>
      </c>
      <c r="B65" s="87"/>
      <c r="C65" s="87"/>
      <c r="D65" s="87"/>
      <c r="E65" s="87"/>
      <c r="F65" s="87"/>
      <c r="H65" s="88" t="s">
        <v>52</v>
      </c>
      <c r="I65" s="88"/>
      <c r="J65" s="88"/>
      <c r="K65" s="88"/>
      <c r="L65" s="88"/>
      <c r="M65" s="88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1711.05</v>
      </c>
      <c r="D67" s="18">
        <v>25</v>
      </c>
      <c r="E67" s="18">
        <v>27</v>
      </c>
      <c r="F67" s="18">
        <f t="shared" ref="F67:F81" si="6">SUM(D67,E67)</f>
        <v>52</v>
      </c>
      <c r="H67" s="43" t="s">
        <v>16</v>
      </c>
      <c r="I67" s="18" t="s">
        <v>58</v>
      </c>
      <c r="J67" s="42">
        <v>-1503.55</v>
      </c>
      <c r="K67" s="18">
        <v>13</v>
      </c>
      <c r="L67" s="18">
        <v>29</v>
      </c>
      <c r="M67" s="18">
        <f t="shared" ref="M67:M81" si="7">SUM(K67,L67)</f>
        <v>42</v>
      </c>
    </row>
    <row r="68" spans="1:13" ht="15.75" customHeight="1" x14ac:dyDescent="0.3">
      <c r="A68" s="41" t="s">
        <v>18</v>
      </c>
      <c r="B68" s="17" t="s">
        <v>58</v>
      </c>
      <c r="C68" s="42">
        <v>-1860.05</v>
      </c>
      <c r="D68" s="17">
        <v>14</v>
      </c>
      <c r="E68" s="17">
        <v>33</v>
      </c>
      <c r="F68" s="17">
        <f t="shared" si="6"/>
        <v>47</v>
      </c>
      <c r="H68" s="41" t="s">
        <v>18</v>
      </c>
      <c r="I68" s="17" t="s">
        <v>58</v>
      </c>
      <c r="J68" s="42">
        <v>-1341.35</v>
      </c>
      <c r="K68" s="17">
        <v>17</v>
      </c>
      <c r="L68" s="17">
        <v>34</v>
      </c>
      <c r="M68" s="17">
        <f t="shared" si="7"/>
        <v>51</v>
      </c>
    </row>
    <row r="69" spans="1:13" ht="15.75" customHeight="1" x14ac:dyDescent="0.3">
      <c r="A69" s="43" t="s">
        <v>20</v>
      </c>
      <c r="B69" s="18" t="s">
        <v>58</v>
      </c>
      <c r="C69" s="44">
        <v>2562.85</v>
      </c>
      <c r="D69" s="18">
        <v>24</v>
      </c>
      <c r="E69" s="18">
        <v>23</v>
      </c>
      <c r="F69" s="18">
        <f t="shared" si="6"/>
        <v>47</v>
      </c>
      <c r="H69" s="43" t="s">
        <v>20</v>
      </c>
      <c r="I69" s="18" t="s">
        <v>58</v>
      </c>
      <c r="J69" s="44">
        <v>1131.45</v>
      </c>
      <c r="K69" s="18">
        <v>23</v>
      </c>
      <c r="L69" s="18">
        <v>22</v>
      </c>
      <c r="M69" s="18">
        <f t="shared" si="7"/>
        <v>45</v>
      </c>
    </row>
    <row r="70" spans="1:13" ht="15.75" customHeight="1" x14ac:dyDescent="0.3">
      <c r="A70" s="41" t="s">
        <v>22</v>
      </c>
      <c r="B70" s="17" t="s">
        <v>58</v>
      </c>
      <c r="C70" s="42">
        <v>-658.15</v>
      </c>
      <c r="D70" s="17">
        <v>19</v>
      </c>
      <c r="E70" s="17">
        <v>33</v>
      </c>
      <c r="F70" s="17">
        <f t="shared" si="6"/>
        <v>52</v>
      </c>
      <c r="H70" s="41" t="s">
        <v>22</v>
      </c>
      <c r="I70" s="17" t="s">
        <v>58</v>
      </c>
      <c r="J70" s="44">
        <v>1897.5</v>
      </c>
      <c r="K70" s="17">
        <v>25</v>
      </c>
      <c r="L70" s="17">
        <v>30</v>
      </c>
      <c r="M70" s="17">
        <f t="shared" si="7"/>
        <v>55</v>
      </c>
    </row>
    <row r="71" spans="1:13" ht="15.75" customHeight="1" x14ac:dyDescent="0.3">
      <c r="A71" s="43" t="s">
        <v>24</v>
      </c>
      <c r="B71" s="18" t="s">
        <v>58</v>
      </c>
      <c r="C71" s="42">
        <v>-1590.1</v>
      </c>
      <c r="D71" s="18">
        <v>21</v>
      </c>
      <c r="E71" s="18">
        <v>38</v>
      </c>
      <c r="F71" s="18">
        <f t="shared" si="6"/>
        <v>59</v>
      </c>
      <c r="H71" s="43" t="s">
        <v>24</v>
      </c>
      <c r="I71" s="18" t="s">
        <v>58</v>
      </c>
      <c r="J71" s="44">
        <v>1315.2</v>
      </c>
      <c r="K71" s="18">
        <v>23</v>
      </c>
      <c r="L71" s="18">
        <v>34</v>
      </c>
      <c r="M71" s="18">
        <f t="shared" si="7"/>
        <v>57</v>
      </c>
    </row>
    <row r="72" spans="1:13" ht="15.75" customHeight="1" x14ac:dyDescent="0.3">
      <c r="A72" s="41" t="s">
        <v>26</v>
      </c>
      <c r="B72" s="17" t="s">
        <v>58</v>
      </c>
      <c r="C72" s="44">
        <v>467.45</v>
      </c>
      <c r="D72" s="17">
        <v>30</v>
      </c>
      <c r="E72" s="17">
        <v>29</v>
      </c>
      <c r="F72" s="17">
        <f t="shared" si="6"/>
        <v>59</v>
      </c>
      <c r="H72" s="41" t="s">
        <v>26</v>
      </c>
      <c r="I72" s="17" t="s">
        <v>58</v>
      </c>
      <c r="J72" s="42">
        <v>-353.2</v>
      </c>
      <c r="K72" s="17">
        <v>22</v>
      </c>
      <c r="L72" s="17">
        <v>35</v>
      </c>
      <c r="M72" s="17">
        <f t="shared" si="7"/>
        <v>57</v>
      </c>
    </row>
    <row r="73" spans="1:13" ht="15.75" customHeight="1" x14ac:dyDescent="0.3">
      <c r="A73" s="43" t="s">
        <v>28</v>
      </c>
      <c r="B73" s="18" t="s">
        <v>58</v>
      </c>
      <c r="C73" s="44">
        <v>84.05</v>
      </c>
      <c r="D73" s="18">
        <v>24</v>
      </c>
      <c r="E73" s="18">
        <v>40</v>
      </c>
      <c r="F73" s="18">
        <f t="shared" si="6"/>
        <v>64</v>
      </c>
      <c r="H73" s="43" t="s">
        <v>28</v>
      </c>
      <c r="I73" s="18" t="s">
        <v>58</v>
      </c>
      <c r="J73" s="44">
        <v>1797.45</v>
      </c>
      <c r="K73" s="18">
        <v>25</v>
      </c>
      <c r="L73" s="18">
        <v>32</v>
      </c>
      <c r="M73" s="18">
        <f t="shared" si="7"/>
        <v>57</v>
      </c>
    </row>
    <row r="74" spans="1:13" ht="15.75" customHeight="1" x14ac:dyDescent="0.3">
      <c r="A74" s="41" t="s">
        <v>30</v>
      </c>
      <c r="B74" s="17" t="s">
        <v>58</v>
      </c>
      <c r="C74" s="42">
        <v>-1557.95</v>
      </c>
      <c r="D74" s="17">
        <v>19</v>
      </c>
      <c r="E74" s="17">
        <v>34</v>
      </c>
      <c r="F74" s="17">
        <f t="shared" si="6"/>
        <v>53</v>
      </c>
      <c r="H74" s="41" t="s">
        <v>30</v>
      </c>
      <c r="I74" s="17" t="s">
        <v>58</v>
      </c>
      <c r="J74" s="42">
        <v>-1798</v>
      </c>
      <c r="K74" s="17">
        <v>16</v>
      </c>
      <c r="L74" s="17">
        <v>35</v>
      </c>
      <c r="M74" s="17">
        <f t="shared" si="7"/>
        <v>51</v>
      </c>
    </row>
    <row r="75" spans="1:13" ht="15.75" customHeight="1" x14ac:dyDescent="0.3">
      <c r="A75" s="43" t="s">
        <v>32</v>
      </c>
      <c r="B75" s="18" t="s">
        <v>58</v>
      </c>
      <c r="C75" s="44">
        <v>1353.5</v>
      </c>
      <c r="D75" s="18">
        <v>22</v>
      </c>
      <c r="E75" s="18">
        <v>31</v>
      </c>
      <c r="F75" s="18">
        <f t="shared" si="6"/>
        <v>53</v>
      </c>
      <c r="H75" s="43" t="s">
        <v>32</v>
      </c>
      <c r="I75" s="18" t="s">
        <v>58</v>
      </c>
      <c r="J75" s="42">
        <v>-220.55</v>
      </c>
      <c r="K75" s="18">
        <v>17</v>
      </c>
      <c r="L75" s="18">
        <v>26</v>
      </c>
      <c r="M75" s="18">
        <f t="shared" si="7"/>
        <v>43</v>
      </c>
    </row>
    <row r="76" spans="1:13" ht="15.75" customHeight="1" x14ac:dyDescent="0.3">
      <c r="A76" s="41" t="s">
        <v>34</v>
      </c>
      <c r="B76" s="17" t="s">
        <v>58</v>
      </c>
      <c r="C76" s="42">
        <v>-2076.15</v>
      </c>
      <c r="D76" s="17">
        <v>16</v>
      </c>
      <c r="E76" s="17">
        <v>37</v>
      </c>
      <c r="F76" s="17">
        <f t="shared" si="6"/>
        <v>53</v>
      </c>
      <c r="H76" s="41" t="s">
        <v>34</v>
      </c>
      <c r="I76" s="17" t="s">
        <v>58</v>
      </c>
      <c r="J76" s="42">
        <v>-564.20000000000005</v>
      </c>
      <c r="K76" s="17">
        <v>21</v>
      </c>
      <c r="L76" s="17">
        <v>35</v>
      </c>
      <c r="M76" s="17">
        <f t="shared" si="7"/>
        <v>56</v>
      </c>
    </row>
    <row r="77" spans="1:13" ht="15.75" customHeight="1" x14ac:dyDescent="0.3">
      <c r="A77" s="43" t="s">
        <v>36</v>
      </c>
      <c r="B77" s="18" t="s">
        <v>58</v>
      </c>
      <c r="C77" s="44">
        <v>767</v>
      </c>
      <c r="D77" s="18">
        <v>27</v>
      </c>
      <c r="E77" s="18">
        <v>28</v>
      </c>
      <c r="F77" s="18">
        <f t="shared" si="6"/>
        <v>55</v>
      </c>
      <c r="H77" s="43" t="s">
        <v>36</v>
      </c>
      <c r="I77" s="18" t="s">
        <v>58</v>
      </c>
      <c r="J77" s="42">
        <v>-2402.8000000000002</v>
      </c>
      <c r="K77" s="18">
        <v>18</v>
      </c>
      <c r="L77" s="18">
        <v>36</v>
      </c>
      <c r="M77" s="18">
        <f t="shared" si="7"/>
        <v>54</v>
      </c>
    </row>
    <row r="78" spans="1:13" ht="15.75" customHeight="1" x14ac:dyDescent="0.3">
      <c r="A78" s="41" t="s">
        <v>38</v>
      </c>
      <c r="B78" s="17" t="s">
        <v>58</v>
      </c>
      <c r="C78" s="44">
        <v>2286.85</v>
      </c>
      <c r="D78" s="17">
        <v>27</v>
      </c>
      <c r="E78" s="17">
        <v>20</v>
      </c>
      <c r="F78" s="17">
        <f t="shared" si="6"/>
        <v>47</v>
      </c>
      <c r="H78" s="41" t="s">
        <v>38</v>
      </c>
      <c r="I78" s="17" t="s">
        <v>58</v>
      </c>
      <c r="J78" s="42">
        <v>-912.75</v>
      </c>
      <c r="K78" s="17">
        <v>17</v>
      </c>
      <c r="L78" s="17">
        <v>33</v>
      </c>
      <c r="M78" s="17">
        <f t="shared" si="7"/>
        <v>50</v>
      </c>
    </row>
    <row r="79" spans="1:13" ht="15.75" customHeight="1" x14ac:dyDescent="0.3">
      <c r="A79" s="43" t="s">
        <v>40</v>
      </c>
      <c r="B79" s="18" t="s">
        <v>58</v>
      </c>
      <c r="C79" s="42">
        <v>-811.6</v>
      </c>
      <c r="D79" s="18">
        <v>22</v>
      </c>
      <c r="E79" s="18">
        <v>33</v>
      </c>
      <c r="F79" s="18">
        <f t="shared" si="6"/>
        <v>55</v>
      </c>
      <c r="H79" s="43" t="s">
        <v>40</v>
      </c>
      <c r="I79" s="18" t="s">
        <v>58</v>
      </c>
      <c r="J79" s="44">
        <v>249.8</v>
      </c>
      <c r="K79" s="18">
        <v>27</v>
      </c>
      <c r="L79" s="18">
        <v>31</v>
      </c>
      <c r="M79" s="18">
        <f t="shared" si="7"/>
        <v>58</v>
      </c>
    </row>
    <row r="80" spans="1:13" ht="15.75" customHeight="1" x14ac:dyDescent="0.3">
      <c r="A80" s="41" t="s">
        <v>42</v>
      </c>
      <c r="B80" s="17" t="s">
        <v>58</v>
      </c>
      <c r="C80" s="42">
        <v>-79.150000000000006</v>
      </c>
      <c r="D80" s="17">
        <v>22</v>
      </c>
      <c r="E80" s="17">
        <v>26</v>
      </c>
      <c r="F80" s="17">
        <f t="shared" si="6"/>
        <v>48</v>
      </c>
      <c r="H80" s="41" t="s">
        <v>42</v>
      </c>
      <c r="I80" s="17" t="s">
        <v>58</v>
      </c>
      <c r="J80" s="42">
        <v>-116.4</v>
      </c>
      <c r="K80" s="17">
        <v>17</v>
      </c>
      <c r="L80" s="17">
        <v>35</v>
      </c>
      <c r="M80" s="17">
        <f t="shared" si="7"/>
        <v>52</v>
      </c>
    </row>
    <row r="81" spans="1:13" ht="15.75" customHeight="1" x14ac:dyDescent="0.3">
      <c r="A81" s="43" t="s">
        <v>44</v>
      </c>
      <c r="B81" s="18" t="s">
        <v>58</v>
      </c>
      <c r="C81" s="42">
        <v>-624.15</v>
      </c>
      <c r="D81" s="18">
        <v>24</v>
      </c>
      <c r="E81" s="18">
        <v>22</v>
      </c>
      <c r="F81" s="18">
        <f t="shared" si="6"/>
        <v>46</v>
      </c>
      <c r="H81" s="43" t="s">
        <v>44</v>
      </c>
      <c r="I81" s="18" t="s">
        <v>58</v>
      </c>
      <c r="J81" s="44">
        <v>539.1</v>
      </c>
      <c r="K81" s="18">
        <v>25</v>
      </c>
      <c r="L81" s="18">
        <v>26</v>
      </c>
      <c r="M81" s="18">
        <f t="shared" si="7"/>
        <v>51</v>
      </c>
    </row>
    <row r="82" spans="1:13" ht="24" customHeight="1" x14ac:dyDescent="0.3">
      <c r="A82" s="45" t="s">
        <v>59</v>
      </c>
      <c r="B82" s="45"/>
      <c r="C82" s="23">
        <f>SUM(C67:C81)</f>
        <v>-24.550000000000296</v>
      </c>
      <c r="D82" s="45">
        <f>SUM(D67:D81)</f>
        <v>336</v>
      </c>
      <c r="E82" s="45">
        <f>SUM(E67:E81)</f>
        <v>454</v>
      </c>
      <c r="F82" s="45">
        <f>SUM(F67:F81)</f>
        <v>790</v>
      </c>
      <c r="H82" s="45" t="s">
        <v>59</v>
      </c>
      <c r="I82" s="45"/>
      <c r="J82" s="21">
        <f>SUM(J67:J81)</f>
        <v>-2282.2999999999997</v>
      </c>
      <c r="K82" s="45">
        <f>SUM(K67:K81)</f>
        <v>306</v>
      </c>
      <c r="L82" s="45">
        <f>SUM(L67:L81)</f>
        <v>473</v>
      </c>
      <c r="M82" s="45">
        <f>SUM(M67:M81)</f>
        <v>779</v>
      </c>
    </row>
    <row r="84" spans="1:13" ht="24" customHeight="1" x14ac:dyDescent="0.3">
      <c r="A84" s="89" t="s">
        <v>63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23667.33</v>
      </c>
      <c r="E86" s="28">
        <f>SUM(D82,D62,D42,D22)</f>
        <v>1338</v>
      </c>
      <c r="F86" s="28">
        <f>SUM(E82,E62,E42,E22)</f>
        <v>1731</v>
      </c>
      <c r="G86" s="28">
        <f>SUM(E86:F86)</f>
        <v>3069</v>
      </c>
      <c r="H86" s="29">
        <f>E86/G86</f>
        <v>0.43597262952101662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-5115.0599999999968</v>
      </c>
      <c r="E87" s="33">
        <f>SUM(K82,K62,K42,K22)</f>
        <v>1272</v>
      </c>
      <c r="F87" s="33">
        <f>SUM(L82,L62,L42,L22)</f>
        <v>1753</v>
      </c>
      <c r="G87" s="33">
        <f>SUM(E87:F87)</f>
        <v>3025</v>
      </c>
      <c r="H87" s="34">
        <f>E87/G87</f>
        <v>0.42049586776859504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18552.270000000004</v>
      </c>
      <c r="E88" s="6">
        <f>SUM(E86:E87)</f>
        <v>2610</v>
      </c>
      <c r="F88" s="6">
        <f>SUM(F86:F87)</f>
        <v>3484</v>
      </c>
      <c r="G88" s="6">
        <f>SUM(G86:G87)</f>
        <v>6094</v>
      </c>
      <c r="H88" s="37">
        <f>AVERAGE(H86,H87)</f>
        <v>0.42823424864480586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M90"/>
  <sheetViews>
    <sheetView showGridLines="0" tabSelected="1" zoomScaleNormal="100" workbookViewId="0">
      <pane ySplit="2" topLeftCell="A76" activePane="bottomLeft" state="frozen"/>
      <selection pane="bottomLeft" activeCell="I91" sqref="I91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.109375" customWidth="1"/>
    <col min="4" max="4" width="8" customWidth="1"/>
    <col min="5" max="5" width="7" customWidth="1"/>
    <col min="6" max="6" width="11" customWidth="1"/>
    <col min="7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4">
        <v>668.65</v>
      </c>
      <c r="D7" s="17">
        <v>14</v>
      </c>
      <c r="E7" s="17">
        <v>17</v>
      </c>
      <c r="F7" s="17">
        <f t="shared" ref="F7:F21" si="0">SUM(D7,E7)</f>
        <v>31</v>
      </c>
      <c r="H7" s="41" t="s">
        <v>16</v>
      </c>
      <c r="I7" s="17" t="s">
        <v>58</v>
      </c>
      <c r="J7" s="44">
        <v>134.6</v>
      </c>
      <c r="K7" s="17">
        <v>15</v>
      </c>
      <c r="L7" s="17">
        <v>16</v>
      </c>
      <c r="M7" s="17">
        <f t="shared" ref="M7:M21" si="1">SUM(K7,L7)</f>
        <v>31</v>
      </c>
    </row>
    <row r="8" spans="1:13" ht="15.75" customHeight="1" x14ac:dyDescent="0.3">
      <c r="A8" s="43" t="s">
        <v>18</v>
      </c>
      <c r="B8" s="18" t="s">
        <v>58</v>
      </c>
      <c r="C8" s="44">
        <v>1217.55</v>
      </c>
      <c r="D8" s="18">
        <v>16</v>
      </c>
      <c r="E8" s="18">
        <v>19</v>
      </c>
      <c r="F8" s="18">
        <f t="shared" si="0"/>
        <v>35</v>
      </c>
      <c r="H8" s="43" t="s">
        <v>18</v>
      </c>
      <c r="I8" s="18" t="s">
        <v>58</v>
      </c>
      <c r="J8" s="42">
        <v>-1811.3</v>
      </c>
      <c r="K8" s="18">
        <v>10</v>
      </c>
      <c r="L8" s="18">
        <v>23</v>
      </c>
      <c r="M8" s="18">
        <f t="shared" si="1"/>
        <v>33</v>
      </c>
    </row>
    <row r="9" spans="1:13" ht="15.75" customHeight="1" x14ac:dyDescent="0.3">
      <c r="A9" s="41" t="s">
        <v>20</v>
      </c>
      <c r="B9" s="17" t="s">
        <v>58</v>
      </c>
      <c r="C9" s="42">
        <v>-201.55</v>
      </c>
      <c r="D9" s="17">
        <v>6</v>
      </c>
      <c r="E9" s="17">
        <v>10</v>
      </c>
      <c r="F9" s="17">
        <f t="shared" si="0"/>
        <v>16</v>
      </c>
      <c r="H9" s="41" t="s">
        <v>20</v>
      </c>
      <c r="I9" s="17" t="s">
        <v>58</v>
      </c>
      <c r="J9" s="44">
        <v>458.9</v>
      </c>
      <c r="K9" s="17">
        <v>8</v>
      </c>
      <c r="L9" s="17">
        <v>13</v>
      </c>
      <c r="M9" s="17">
        <f t="shared" si="1"/>
        <v>21</v>
      </c>
    </row>
    <row r="10" spans="1:13" ht="15.75" customHeight="1" x14ac:dyDescent="0.3">
      <c r="A10" s="43" t="s">
        <v>22</v>
      </c>
      <c r="B10" s="18" t="s">
        <v>58</v>
      </c>
      <c r="C10" s="44">
        <v>5.55</v>
      </c>
      <c r="D10" s="18">
        <v>18</v>
      </c>
      <c r="E10" s="18">
        <v>26</v>
      </c>
      <c r="F10" s="18">
        <f t="shared" si="0"/>
        <v>44</v>
      </c>
      <c r="H10" s="43" t="s">
        <v>22</v>
      </c>
      <c r="I10" s="18" t="s">
        <v>58</v>
      </c>
      <c r="J10" s="44">
        <v>398.9</v>
      </c>
      <c r="K10" s="18">
        <v>19</v>
      </c>
      <c r="L10" s="18">
        <v>24</v>
      </c>
      <c r="M10" s="18">
        <f t="shared" si="1"/>
        <v>43</v>
      </c>
    </row>
    <row r="11" spans="1:13" ht="15.75" customHeight="1" x14ac:dyDescent="0.3">
      <c r="A11" s="41" t="s">
        <v>24</v>
      </c>
      <c r="B11" s="17" t="s">
        <v>58</v>
      </c>
      <c r="C11" s="44">
        <v>165.21</v>
      </c>
      <c r="D11" s="17">
        <v>12</v>
      </c>
      <c r="E11" s="17">
        <v>20</v>
      </c>
      <c r="F11" s="17">
        <f t="shared" si="0"/>
        <v>32</v>
      </c>
      <c r="H11" s="41" t="s">
        <v>24</v>
      </c>
      <c r="I11" s="17" t="s">
        <v>58</v>
      </c>
      <c r="J11" s="42">
        <v>-904.93</v>
      </c>
      <c r="K11" s="17">
        <v>14</v>
      </c>
      <c r="L11" s="17">
        <v>22</v>
      </c>
      <c r="M11" s="17">
        <f t="shared" si="1"/>
        <v>36</v>
      </c>
    </row>
    <row r="12" spans="1:13" ht="15.75" customHeight="1" x14ac:dyDescent="0.3">
      <c r="A12" s="43" t="s">
        <v>26</v>
      </c>
      <c r="B12" s="18" t="s">
        <v>58</v>
      </c>
      <c r="C12" s="44">
        <v>1377</v>
      </c>
      <c r="D12" s="18">
        <v>20</v>
      </c>
      <c r="E12" s="18">
        <v>16</v>
      </c>
      <c r="F12" s="18">
        <f t="shared" si="0"/>
        <v>36</v>
      </c>
      <c r="H12" s="43" t="s">
        <v>26</v>
      </c>
      <c r="I12" s="18" t="s">
        <v>58</v>
      </c>
      <c r="J12" s="42">
        <v>-419.1</v>
      </c>
      <c r="K12" s="18">
        <v>13</v>
      </c>
      <c r="L12" s="18">
        <v>19</v>
      </c>
      <c r="M12" s="18">
        <f t="shared" si="1"/>
        <v>32</v>
      </c>
    </row>
    <row r="13" spans="1:13" ht="15.75" customHeight="1" x14ac:dyDescent="0.3">
      <c r="A13" s="41" t="s">
        <v>28</v>
      </c>
      <c r="B13" s="17" t="s">
        <v>58</v>
      </c>
      <c r="C13" s="44">
        <v>64.25</v>
      </c>
      <c r="D13" s="17">
        <v>17</v>
      </c>
      <c r="E13" s="17">
        <v>21</v>
      </c>
      <c r="F13" s="17">
        <f t="shared" si="0"/>
        <v>38</v>
      </c>
      <c r="H13" s="41" t="s">
        <v>28</v>
      </c>
      <c r="I13" s="17" t="s">
        <v>58</v>
      </c>
      <c r="J13" s="42">
        <v>-1056</v>
      </c>
      <c r="K13" s="17">
        <v>15</v>
      </c>
      <c r="L13" s="17">
        <v>21</v>
      </c>
      <c r="M13" s="17">
        <f t="shared" si="1"/>
        <v>36</v>
      </c>
    </row>
    <row r="14" spans="1:13" ht="15.75" customHeight="1" x14ac:dyDescent="0.3">
      <c r="A14" s="43" t="s">
        <v>30</v>
      </c>
      <c r="B14" s="18" t="s">
        <v>58</v>
      </c>
      <c r="C14" s="42">
        <v>-510.3</v>
      </c>
      <c r="D14" s="18">
        <v>14</v>
      </c>
      <c r="E14" s="18">
        <v>20</v>
      </c>
      <c r="F14" s="18">
        <f t="shared" si="0"/>
        <v>34</v>
      </c>
      <c r="H14" s="43" t="s">
        <v>30</v>
      </c>
      <c r="I14" s="18" t="s">
        <v>58</v>
      </c>
      <c r="J14" s="44">
        <v>843.05</v>
      </c>
      <c r="K14" s="18">
        <v>16</v>
      </c>
      <c r="L14" s="18">
        <v>19</v>
      </c>
      <c r="M14" s="18">
        <f t="shared" si="1"/>
        <v>35</v>
      </c>
    </row>
    <row r="15" spans="1:13" ht="15.75" customHeight="1" x14ac:dyDescent="0.3">
      <c r="A15" s="41" t="s">
        <v>32</v>
      </c>
      <c r="B15" s="17" t="s">
        <v>58</v>
      </c>
      <c r="C15" s="44">
        <v>1177.45</v>
      </c>
      <c r="D15" s="17">
        <v>16</v>
      </c>
      <c r="E15" s="17">
        <v>13</v>
      </c>
      <c r="F15" s="17">
        <f t="shared" si="0"/>
        <v>29</v>
      </c>
      <c r="H15" s="41" t="s">
        <v>32</v>
      </c>
      <c r="I15" s="17" t="s">
        <v>58</v>
      </c>
      <c r="J15" s="44">
        <v>110.85</v>
      </c>
      <c r="K15" s="17">
        <v>13</v>
      </c>
      <c r="L15" s="17">
        <v>20</v>
      </c>
      <c r="M15" s="17">
        <f t="shared" si="1"/>
        <v>33</v>
      </c>
    </row>
    <row r="16" spans="1:13" ht="15.75" customHeight="1" x14ac:dyDescent="0.3">
      <c r="A16" s="43" t="s">
        <v>34</v>
      </c>
      <c r="B16" s="18" t="s">
        <v>58</v>
      </c>
      <c r="C16" s="44">
        <v>814.41</v>
      </c>
      <c r="D16" s="18">
        <v>13</v>
      </c>
      <c r="E16" s="18">
        <v>19</v>
      </c>
      <c r="F16" s="18">
        <f t="shared" si="0"/>
        <v>32</v>
      </c>
      <c r="H16" s="43" t="s">
        <v>34</v>
      </c>
      <c r="I16" s="18" t="s">
        <v>58</v>
      </c>
      <c r="J16" s="44">
        <v>892.8</v>
      </c>
      <c r="K16" s="18">
        <v>13</v>
      </c>
      <c r="L16" s="18">
        <v>16</v>
      </c>
      <c r="M16" s="18">
        <f t="shared" si="1"/>
        <v>29</v>
      </c>
    </row>
    <row r="17" spans="1:13" ht="15.75" customHeight="1" x14ac:dyDescent="0.3">
      <c r="A17" s="41" t="s">
        <v>36</v>
      </c>
      <c r="B17" s="17" t="s">
        <v>58</v>
      </c>
      <c r="C17" s="44">
        <v>2354.17</v>
      </c>
      <c r="D17" s="17">
        <v>18</v>
      </c>
      <c r="E17" s="17">
        <v>16</v>
      </c>
      <c r="F17" s="17">
        <f t="shared" si="0"/>
        <v>34</v>
      </c>
      <c r="H17" s="41" t="s">
        <v>36</v>
      </c>
      <c r="I17" s="17" t="s">
        <v>58</v>
      </c>
      <c r="J17" s="42">
        <v>-156.31</v>
      </c>
      <c r="K17" s="17">
        <v>13</v>
      </c>
      <c r="L17" s="17">
        <v>18</v>
      </c>
      <c r="M17" s="17">
        <f t="shared" si="1"/>
        <v>31</v>
      </c>
    </row>
    <row r="18" spans="1:13" ht="15.75" customHeight="1" x14ac:dyDescent="0.3">
      <c r="A18" s="43" t="s">
        <v>38</v>
      </c>
      <c r="B18" s="18" t="s">
        <v>58</v>
      </c>
      <c r="C18" s="44">
        <v>1034.8499999999999</v>
      </c>
      <c r="D18" s="18">
        <v>17</v>
      </c>
      <c r="E18" s="18">
        <v>10</v>
      </c>
      <c r="F18" s="18">
        <f t="shared" si="0"/>
        <v>27</v>
      </c>
      <c r="H18" s="43" t="s">
        <v>38</v>
      </c>
      <c r="I18" s="18" t="s">
        <v>58</v>
      </c>
      <c r="J18" s="42">
        <v>-1457.25</v>
      </c>
      <c r="K18" s="18">
        <v>9</v>
      </c>
      <c r="L18" s="18">
        <v>22</v>
      </c>
      <c r="M18" s="18">
        <f t="shared" si="1"/>
        <v>31</v>
      </c>
    </row>
    <row r="19" spans="1:13" ht="15.75" customHeight="1" x14ac:dyDescent="0.3">
      <c r="A19" s="41" t="s">
        <v>40</v>
      </c>
      <c r="B19" s="17" t="s">
        <v>58</v>
      </c>
      <c r="C19" s="42">
        <v>-229.35</v>
      </c>
      <c r="D19" s="17">
        <v>13</v>
      </c>
      <c r="E19" s="17">
        <v>17</v>
      </c>
      <c r="F19" s="17">
        <f t="shared" si="0"/>
        <v>30</v>
      </c>
      <c r="H19" s="41" t="s">
        <v>40</v>
      </c>
      <c r="I19" s="17" t="s">
        <v>58</v>
      </c>
      <c r="J19" s="44">
        <v>527.15</v>
      </c>
      <c r="K19" s="17">
        <v>15</v>
      </c>
      <c r="L19" s="17">
        <v>16</v>
      </c>
      <c r="M19" s="17">
        <f t="shared" si="1"/>
        <v>31</v>
      </c>
    </row>
    <row r="20" spans="1:13" ht="15.75" customHeight="1" x14ac:dyDescent="0.3">
      <c r="A20" s="43" t="s">
        <v>42</v>
      </c>
      <c r="B20" s="18" t="s">
        <v>58</v>
      </c>
      <c r="C20" s="44">
        <v>846.7</v>
      </c>
      <c r="D20" s="18">
        <v>17</v>
      </c>
      <c r="E20" s="18">
        <v>13</v>
      </c>
      <c r="F20" s="18">
        <f t="shared" si="0"/>
        <v>30</v>
      </c>
      <c r="H20" s="43" t="s">
        <v>42</v>
      </c>
      <c r="I20" s="18" t="s">
        <v>58</v>
      </c>
      <c r="J20" s="42">
        <v>-858.8</v>
      </c>
      <c r="K20" s="18">
        <v>10</v>
      </c>
      <c r="L20" s="18">
        <v>19</v>
      </c>
      <c r="M20" s="18">
        <f t="shared" si="1"/>
        <v>29</v>
      </c>
    </row>
    <row r="21" spans="1:13" ht="15.75" customHeight="1" x14ac:dyDescent="0.3">
      <c r="A21" s="41" t="s">
        <v>44</v>
      </c>
      <c r="B21" s="17" t="s">
        <v>58</v>
      </c>
      <c r="C21" s="44">
        <v>850.65</v>
      </c>
      <c r="D21" s="17">
        <v>17</v>
      </c>
      <c r="E21" s="17">
        <v>13</v>
      </c>
      <c r="F21" s="17">
        <f t="shared" si="0"/>
        <v>30</v>
      </c>
      <c r="H21" s="41" t="s">
        <v>44</v>
      </c>
      <c r="I21" s="17" t="s">
        <v>58</v>
      </c>
      <c r="J21" s="42">
        <v>-637.65</v>
      </c>
      <c r="K21" s="17">
        <v>15</v>
      </c>
      <c r="L21" s="17">
        <v>18</v>
      </c>
      <c r="M21" s="17">
        <f t="shared" si="1"/>
        <v>33</v>
      </c>
    </row>
    <row r="22" spans="1:13" ht="24" customHeight="1" x14ac:dyDescent="0.3">
      <c r="A22" s="45" t="s">
        <v>59</v>
      </c>
      <c r="B22" s="45"/>
      <c r="C22" s="21">
        <f>SUM(C7:C21)</f>
        <v>9635.24</v>
      </c>
      <c r="D22" s="45">
        <f>SUM(D7:D21)</f>
        <v>228</v>
      </c>
      <c r="E22" s="45">
        <f>SUM(E7:E21)</f>
        <v>250</v>
      </c>
      <c r="F22" s="45">
        <f>SUM(F7:F21)</f>
        <v>478</v>
      </c>
      <c r="H22" s="45" t="s">
        <v>59</v>
      </c>
      <c r="I22" s="45"/>
      <c r="J22" s="23">
        <f>SUM(J7:J21)</f>
        <v>-3935.0899999999997</v>
      </c>
      <c r="K22" s="45">
        <f>SUM(K7:K21)</f>
        <v>198</v>
      </c>
      <c r="L22" s="45">
        <f>SUM(L7:L21)</f>
        <v>286</v>
      </c>
      <c r="M22" s="45">
        <f>SUM(M7:M21)</f>
        <v>484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-685</v>
      </c>
      <c r="D27" s="18">
        <v>9</v>
      </c>
      <c r="E27" s="18">
        <v>21</v>
      </c>
      <c r="F27" s="18">
        <f t="shared" ref="F27:F41" si="2">SUM(D27,E27)</f>
        <v>30</v>
      </c>
      <c r="H27" s="43" t="s">
        <v>16</v>
      </c>
      <c r="I27" s="18" t="s">
        <v>58</v>
      </c>
      <c r="J27" s="44">
        <v>1796.7</v>
      </c>
      <c r="K27" s="18">
        <v>18</v>
      </c>
      <c r="L27" s="18">
        <v>12</v>
      </c>
      <c r="M27" s="18">
        <f t="shared" ref="M27:M41" si="3">SUM(K27,L27)</f>
        <v>30</v>
      </c>
    </row>
    <row r="28" spans="1:13" ht="15.75" customHeight="1" x14ac:dyDescent="0.3">
      <c r="A28" s="41" t="s">
        <v>18</v>
      </c>
      <c r="B28" s="17" t="s">
        <v>58</v>
      </c>
      <c r="C28" s="44">
        <v>98.9</v>
      </c>
      <c r="D28" s="17">
        <v>11</v>
      </c>
      <c r="E28" s="17">
        <v>18</v>
      </c>
      <c r="F28" s="17">
        <f t="shared" si="2"/>
        <v>29</v>
      </c>
      <c r="H28" s="41" t="s">
        <v>18</v>
      </c>
      <c r="I28" s="17" t="s">
        <v>58</v>
      </c>
      <c r="J28" s="42">
        <v>-1210.8499999999999</v>
      </c>
      <c r="K28" s="17">
        <v>11</v>
      </c>
      <c r="L28" s="17">
        <v>17</v>
      </c>
      <c r="M28" s="17">
        <f t="shared" si="3"/>
        <v>28</v>
      </c>
    </row>
    <row r="29" spans="1:13" ht="15.75" customHeight="1" x14ac:dyDescent="0.3">
      <c r="A29" s="43" t="s">
        <v>20</v>
      </c>
      <c r="B29" s="18" t="s">
        <v>58</v>
      </c>
      <c r="C29" s="42">
        <v>-2373.8000000000002</v>
      </c>
      <c r="D29" s="18">
        <v>7</v>
      </c>
      <c r="E29" s="18">
        <v>27</v>
      </c>
      <c r="F29" s="18">
        <f t="shared" si="2"/>
        <v>34</v>
      </c>
      <c r="H29" s="43" t="s">
        <v>20</v>
      </c>
      <c r="I29" s="18" t="s">
        <v>58</v>
      </c>
      <c r="J29" s="44">
        <v>1547.2</v>
      </c>
      <c r="K29" s="18">
        <v>18</v>
      </c>
      <c r="L29" s="18">
        <v>13</v>
      </c>
      <c r="M29" s="18">
        <f t="shared" si="3"/>
        <v>31</v>
      </c>
    </row>
    <row r="30" spans="1:13" ht="15.75" customHeight="1" x14ac:dyDescent="0.3">
      <c r="A30" s="41" t="s">
        <v>22</v>
      </c>
      <c r="B30" s="17" t="s">
        <v>58</v>
      </c>
      <c r="C30" s="44">
        <v>39.35</v>
      </c>
      <c r="D30" s="17">
        <v>16</v>
      </c>
      <c r="E30" s="17">
        <v>17</v>
      </c>
      <c r="F30" s="17">
        <f t="shared" si="2"/>
        <v>33</v>
      </c>
      <c r="H30" s="41" t="s">
        <v>22</v>
      </c>
      <c r="I30" s="17" t="s">
        <v>58</v>
      </c>
      <c r="J30" s="44">
        <v>1719.65</v>
      </c>
      <c r="K30" s="17">
        <v>20</v>
      </c>
      <c r="L30" s="17">
        <v>14</v>
      </c>
      <c r="M30" s="17">
        <f t="shared" si="3"/>
        <v>34</v>
      </c>
    </row>
    <row r="31" spans="1:13" ht="15.75" customHeight="1" x14ac:dyDescent="0.3">
      <c r="A31" s="43" t="s">
        <v>24</v>
      </c>
      <c r="B31" s="18" t="s">
        <v>58</v>
      </c>
      <c r="C31" s="42">
        <v>-706.8</v>
      </c>
      <c r="D31" s="18">
        <v>12</v>
      </c>
      <c r="E31" s="18">
        <v>17</v>
      </c>
      <c r="F31" s="18">
        <f t="shared" si="2"/>
        <v>29</v>
      </c>
      <c r="H31" s="43" t="s">
        <v>24</v>
      </c>
      <c r="I31" s="18" t="s">
        <v>58</v>
      </c>
      <c r="J31" s="44">
        <v>359.2</v>
      </c>
      <c r="K31" s="18">
        <v>15</v>
      </c>
      <c r="L31" s="18">
        <v>17</v>
      </c>
      <c r="M31" s="18">
        <f t="shared" si="3"/>
        <v>32</v>
      </c>
    </row>
    <row r="32" spans="1:13" ht="15.75" customHeight="1" x14ac:dyDescent="0.3">
      <c r="A32" s="41" t="s">
        <v>26</v>
      </c>
      <c r="B32" s="17" t="s">
        <v>58</v>
      </c>
      <c r="C32" s="42">
        <v>-3075.2</v>
      </c>
      <c r="D32" s="17">
        <v>8</v>
      </c>
      <c r="E32" s="17">
        <v>30</v>
      </c>
      <c r="F32" s="17">
        <f t="shared" si="2"/>
        <v>38</v>
      </c>
      <c r="H32" s="41" t="s">
        <v>26</v>
      </c>
      <c r="I32" s="17" t="s">
        <v>58</v>
      </c>
      <c r="J32" s="44">
        <v>1084.3</v>
      </c>
      <c r="K32" s="17">
        <v>21</v>
      </c>
      <c r="L32" s="17">
        <v>17</v>
      </c>
      <c r="M32" s="17">
        <f t="shared" si="3"/>
        <v>38</v>
      </c>
    </row>
    <row r="33" spans="1:13" ht="15.75" customHeight="1" x14ac:dyDescent="0.3">
      <c r="A33" s="43" t="s">
        <v>28</v>
      </c>
      <c r="B33" s="18" t="s">
        <v>58</v>
      </c>
      <c r="C33" s="44">
        <v>469.9</v>
      </c>
      <c r="D33" s="18">
        <v>15</v>
      </c>
      <c r="E33" s="18">
        <v>20</v>
      </c>
      <c r="F33" s="18">
        <f t="shared" si="2"/>
        <v>35</v>
      </c>
      <c r="H33" s="43" t="s">
        <v>28</v>
      </c>
      <c r="I33" s="18" t="s">
        <v>58</v>
      </c>
      <c r="J33" s="44">
        <v>1250.45</v>
      </c>
      <c r="K33" s="18">
        <v>16</v>
      </c>
      <c r="L33" s="18">
        <v>17</v>
      </c>
      <c r="M33" s="18">
        <f t="shared" si="3"/>
        <v>33</v>
      </c>
    </row>
    <row r="34" spans="1:13" ht="15.75" customHeight="1" x14ac:dyDescent="0.3">
      <c r="A34" s="41" t="s">
        <v>30</v>
      </c>
      <c r="B34" s="17" t="s">
        <v>58</v>
      </c>
      <c r="C34" s="44">
        <v>1784.4</v>
      </c>
      <c r="D34" s="17">
        <v>22</v>
      </c>
      <c r="E34" s="17">
        <v>13</v>
      </c>
      <c r="F34" s="17">
        <f t="shared" si="2"/>
        <v>35</v>
      </c>
      <c r="H34" s="41" t="s">
        <v>30</v>
      </c>
      <c r="I34" s="17" t="s">
        <v>58</v>
      </c>
      <c r="J34" s="42">
        <v>-440.2</v>
      </c>
      <c r="K34" s="17">
        <v>15</v>
      </c>
      <c r="L34" s="17">
        <v>20</v>
      </c>
      <c r="M34" s="17">
        <f t="shared" si="3"/>
        <v>35</v>
      </c>
    </row>
    <row r="35" spans="1:13" ht="15.75" customHeight="1" x14ac:dyDescent="0.3">
      <c r="A35" s="43" t="s">
        <v>32</v>
      </c>
      <c r="B35" s="18" t="s">
        <v>58</v>
      </c>
      <c r="C35" s="44">
        <v>235</v>
      </c>
      <c r="D35" s="18">
        <v>13</v>
      </c>
      <c r="E35" s="18">
        <v>15</v>
      </c>
      <c r="F35" s="18">
        <f t="shared" si="2"/>
        <v>28</v>
      </c>
      <c r="H35" s="43" t="s">
        <v>32</v>
      </c>
      <c r="I35" s="18" t="s">
        <v>58</v>
      </c>
      <c r="J35" s="44">
        <v>1981.9</v>
      </c>
      <c r="K35" s="18">
        <v>16</v>
      </c>
      <c r="L35" s="18">
        <v>10</v>
      </c>
      <c r="M35" s="18">
        <f t="shared" si="3"/>
        <v>26</v>
      </c>
    </row>
    <row r="36" spans="1:13" ht="15.75" customHeight="1" x14ac:dyDescent="0.3">
      <c r="A36" s="41" t="s">
        <v>34</v>
      </c>
      <c r="B36" s="17" t="s">
        <v>58</v>
      </c>
      <c r="C36" s="44">
        <v>198.42</v>
      </c>
      <c r="D36" s="17">
        <v>14</v>
      </c>
      <c r="E36" s="17">
        <v>24</v>
      </c>
      <c r="F36" s="17">
        <f t="shared" si="2"/>
        <v>38</v>
      </c>
      <c r="H36" s="41" t="s">
        <v>34</v>
      </c>
      <c r="I36" s="17" t="s">
        <v>58</v>
      </c>
      <c r="J36" s="42">
        <v>-462.47</v>
      </c>
      <c r="K36" s="17">
        <v>17</v>
      </c>
      <c r="L36" s="17">
        <v>19</v>
      </c>
      <c r="M36" s="17">
        <f t="shared" si="3"/>
        <v>36</v>
      </c>
    </row>
    <row r="37" spans="1:13" ht="15.75" customHeight="1" x14ac:dyDescent="0.3">
      <c r="A37" s="43" t="s">
        <v>36</v>
      </c>
      <c r="B37" s="18" t="s">
        <v>58</v>
      </c>
      <c r="C37" s="42">
        <v>-536.45000000000005</v>
      </c>
      <c r="D37" s="18">
        <v>17</v>
      </c>
      <c r="E37" s="18">
        <v>26</v>
      </c>
      <c r="F37" s="18">
        <f t="shared" si="2"/>
        <v>43</v>
      </c>
      <c r="H37" s="43" t="s">
        <v>36</v>
      </c>
      <c r="I37" s="18" t="s">
        <v>58</v>
      </c>
      <c r="J37" s="42">
        <v>-275.05</v>
      </c>
      <c r="K37" s="18">
        <v>21</v>
      </c>
      <c r="L37" s="18">
        <v>22</v>
      </c>
      <c r="M37" s="18">
        <f t="shared" si="3"/>
        <v>43</v>
      </c>
    </row>
    <row r="38" spans="1:13" ht="15.75" customHeight="1" x14ac:dyDescent="0.3">
      <c r="A38" s="41" t="s">
        <v>38</v>
      </c>
      <c r="B38" s="17" t="s">
        <v>58</v>
      </c>
      <c r="C38" s="44">
        <v>60</v>
      </c>
      <c r="D38" s="17">
        <v>18</v>
      </c>
      <c r="E38" s="17">
        <v>22</v>
      </c>
      <c r="F38" s="17">
        <f t="shared" si="2"/>
        <v>40</v>
      </c>
      <c r="H38" s="41" t="s">
        <v>38</v>
      </c>
      <c r="I38" s="17" t="s">
        <v>58</v>
      </c>
      <c r="J38" s="42">
        <v>-999.8</v>
      </c>
      <c r="K38" s="17">
        <v>16</v>
      </c>
      <c r="L38" s="17">
        <v>24</v>
      </c>
      <c r="M38" s="17">
        <f t="shared" si="3"/>
        <v>40</v>
      </c>
    </row>
    <row r="39" spans="1:13" ht="15.75" customHeight="1" x14ac:dyDescent="0.3">
      <c r="A39" s="43" t="s">
        <v>40</v>
      </c>
      <c r="B39" s="18" t="s">
        <v>58</v>
      </c>
      <c r="C39" s="44">
        <v>68.3</v>
      </c>
      <c r="D39" s="18">
        <v>17</v>
      </c>
      <c r="E39" s="18">
        <v>20</v>
      </c>
      <c r="F39" s="18">
        <f t="shared" si="2"/>
        <v>37</v>
      </c>
      <c r="H39" s="43" t="s">
        <v>40</v>
      </c>
      <c r="I39" s="18" t="s">
        <v>58</v>
      </c>
      <c r="J39" s="44">
        <v>801.75</v>
      </c>
      <c r="K39" s="18">
        <v>15</v>
      </c>
      <c r="L39" s="18">
        <v>21</v>
      </c>
      <c r="M39" s="18">
        <f t="shared" si="3"/>
        <v>36</v>
      </c>
    </row>
    <row r="40" spans="1:13" ht="15.75" customHeight="1" x14ac:dyDescent="0.3">
      <c r="A40" s="41" t="s">
        <v>42</v>
      </c>
      <c r="B40" s="17" t="s">
        <v>58</v>
      </c>
      <c r="C40" s="42">
        <v>-197.25</v>
      </c>
      <c r="D40" s="17">
        <v>15</v>
      </c>
      <c r="E40" s="17">
        <v>16</v>
      </c>
      <c r="F40" s="17">
        <f t="shared" si="2"/>
        <v>31</v>
      </c>
      <c r="H40" s="41" t="s">
        <v>42</v>
      </c>
      <c r="I40" s="17" t="s">
        <v>58</v>
      </c>
      <c r="J40" s="44">
        <v>1183.4000000000001</v>
      </c>
      <c r="K40" s="17">
        <v>22</v>
      </c>
      <c r="L40" s="17">
        <v>14</v>
      </c>
      <c r="M40" s="17">
        <f t="shared" si="3"/>
        <v>36</v>
      </c>
    </row>
    <row r="41" spans="1:13" ht="15.75" customHeight="1" x14ac:dyDescent="0.3">
      <c r="A41" s="43" t="s">
        <v>44</v>
      </c>
      <c r="B41" s="18" t="s">
        <v>58</v>
      </c>
      <c r="C41" s="42">
        <v>-177.85</v>
      </c>
      <c r="D41" s="18">
        <v>16</v>
      </c>
      <c r="E41" s="18">
        <v>14</v>
      </c>
      <c r="F41" s="18">
        <f t="shared" si="2"/>
        <v>30</v>
      </c>
      <c r="H41" s="43" t="s">
        <v>44</v>
      </c>
      <c r="I41" s="18" t="s">
        <v>58</v>
      </c>
      <c r="J41" s="44">
        <v>1464.15</v>
      </c>
      <c r="K41" s="18">
        <v>19</v>
      </c>
      <c r="L41" s="18">
        <v>10</v>
      </c>
      <c r="M41" s="18">
        <f t="shared" si="3"/>
        <v>29</v>
      </c>
    </row>
    <row r="42" spans="1:13" ht="24" customHeight="1" x14ac:dyDescent="0.3">
      <c r="A42" s="45" t="s">
        <v>59</v>
      </c>
      <c r="B42" s="45"/>
      <c r="C42" s="21">
        <f>SUM(C27:C41)</f>
        <v>-4798.08</v>
      </c>
      <c r="D42" s="45">
        <f>SUM(D27:D41)</f>
        <v>210</v>
      </c>
      <c r="E42" s="45">
        <f>SUM(E27:E41)</f>
        <v>300</v>
      </c>
      <c r="F42" s="45">
        <f>SUM(F27:F41)</f>
        <v>510</v>
      </c>
      <c r="H42" s="45" t="s">
        <v>59</v>
      </c>
      <c r="I42" s="45"/>
      <c r="J42" s="21">
        <f>SUM(J27:J41)</f>
        <v>9800.33</v>
      </c>
      <c r="K42" s="45">
        <f>SUM(K27:K41)</f>
        <v>260</v>
      </c>
      <c r="L42" s="45">
        <f>SUM(L27:L41)</f>
        <v>247</v>
      </c>
      <c r="M42" s="45">
        <f>SUM(M27:M41)</f>
        <v>507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2">
        <v>-24.5</v>
      </c>
      <c r="D47" s="17">
        <v>13</v>
      </c>
      <c r="E47" s="17">
        <v>18</v>
      </c>
      <c r="F47" s="17">
        <f t="shared" ref="F47:F61" si="4">SUM(D47,E47)</f>
        <v>31</v>
      </c>
      <c r="H47" s="41" t="s">
        <v>16</v>
      </c>
      <c r="I47" s="17" t="s">
        <v>58</v>
      </c>
      <c r="J47" s="42">
        <v>-723.5</v>
      </c>
      <c r="K47" s="17">
        <v>10</v>
      </c>
      <c r="L47" s="17">
        <v>18</v>
      </c>
      <c r="M47" s="17">
        <f t="shared" ref="M47:M61" si="5">SUM(K47,L47)</f>
        <v>28</v>
      </c>
    </row>
    <row r="48" spans="1:13" ht="15.75" customHeight="1" x14ac:dyDescent="0.3">
      <c r="A48" s="43" t="s">
        <v>18</v>
      </c>
      <c r="B48" s="18" t="s">
        <v>58</v>
      </c>
      <c r="C48" s="42">
        <v>-280.14999999999998</v>
      </c>
      <c r="D48" s="18">
        <v>11</v>
      </c>
      <c r="E48" s="18">
        <v>18</v>
      </c>
      <c r="F48" s="18">
        <f t="shared" si="4"/>
        <v>29</v>
      </c>
      <c r="H48" s="43" t="s">
        <v>18</v>
      </c>
      <c r="I48" s="18" t="s">
        <v>58</v>
      </c>
      <c r="J48" s="44">
        <v>215.35</v>
      </c>
      <c r="K48" s="18">
        <v>16</v>
      </c>
      <c r="L48" s="18">
        <v>19</v>
      </c>
      <c r="M48" s="18">
        <f t="shared" si="5"/>
        <v>35</v>
      </c>
    </row>
    <row r="49" spans="1:13" ht="15.75" customHeight="1" x14ac:dyDescent="0.3">
      <c r="A49" s="41" t="s">
        <v>20</v>
      </c>
      <c r="B49" s="17" t="s">
        <v>58</v>
      </c>
      <c r="C49" s="44">
        <v>783.3</v>
      </c>
      <c r="D49" s="17">
        <v>13</v>
      </c>
      <c r="E49" s="17">
        <v>16</v>
      </c>
      <c r="F49" s="17">
        <f t="shared" si="4"/>
        <v>29</v>
      </c>
      <c r="H49" s="41" t="s">
        <v>20</v>
      </c>
      <c r="I49" s="17" t="s">
        <v>58</v>
      </c>
      <c r="J49" s="42">
        <v>-1387.1</v>
      </c>
      <c r="K49" s="17">
        <v>9</v>
      </c>
      <c r="L49" s="17">
        <v>17</v>
      </c>
      <c r="M49" s="17">
        <f t="shared" si="5"/>
        <v>26</v>
      </c>
    </row>
    <row r="50" spans="1:13" ht="15.75" customHeight="1" x14ac:dyDescent="0.3">
      <c r="A50" s="43" t="s">
        <v>22</v>
      </c>
      <c r="B50" s="18" t="s">
        <v>58</v>
      </c>
      <c r="C50" s="42">
        <v>-157.69999999999999</v>
      </c>
      <c r="D50" s="18">
        <v>13</v>
      </c>
      <c r="E50" s="18">
        <v>22</v>
      </c>
      <c r="F50" s="18">
        <f t="shared" si="4"/>
        <v>35</v>
      </c>
      <c r="H50" s="43" t="s">
        <v>22</v>
      </c>
      <c r="I50" s="18" t="s">
        <v>58</v>
      </c>
      <c r="J50" s="44">
        <v>94.15</v>
      </c>
      <c r="K50" s="18">
        <v>19</v>
      </c>
      <c r="L50" s="18">
        <v>16</v>
      </c>
      <c r="M50" s="18">
        <f t="shared" si="5"/>
        <v>35</v>
      </c>
    </row>
    <row r="51" spans="1:13" ht="15.75" customHeight="1" x14ac:dyDescent="0.3">
      <c r="A51" s="41" t="s">
        <v>24</v>
      </c>
      <c r="B51" s="17" t="s">
        <v>58</v>
      </c>
      <c r="C51" s="42">
        <v>-208.85</v>
      </c>
      <c r="D51" s="17">
        <v>13</v>
      </c>
      <c r="E51" s="17">
        <v>20</v>
      </c>
      <c r="F51" s="17">
        <f t="shared" si="4"/>
        <v>33</v>
      </c>
      <c r="H51" s="41" t="s">
        <v>24</v>
      </c>
      <c r="I51" s="17" t="s">
        <v>58</v>
      </c>
      <c r="J51" s="44">
        <v>1154.5999999999999</v>
      </c>
      <c r="K51" s="17">
        <v>21</v>
      </c>
      <c r="L51" s="17">
        <v>17</v>
      </c>
      <c r="M51" s="17">
        <f t="shared" si="5"/>
        <v>38</v>
      </c>
    </row>
    <row r="52" spans="1:13" ht="15.75" customHeight="1" x14ac:dyDescent="0.3">
      <c r="A52" s="43" t="s">
        <v>26</v>
      </c>
      <c r="B52" s="18" t="s">
        <v>58</v>
      </c>
      <c r="C52" s="42">
        <v>-888.8</v>
      </c>
      <c r="D52" s="18">
        <v>12</v>
      </c>
      <c r="E52" s="18">
        <v>25</v>
      </c>
      <c r="F52" s="18">
        <f t="shared" si="4"/>
        <v>37</v>
      </c>
      <c r="H52" s="43" t="s">
        <v>26</v>
      </c>
      <c r="I52" s="18" t="s">
        <v>58</v>
      </c>
      <c r="J52" s="44">
        <v>307.14999999999998</v>
      </c>
      <c r="K52" s="18">
        <v>16</v>
      </c>
      <c r="L52" s="18">
        <v>20</v>
      </c>
      <c r="M52" s="18">
        <f t="shared" si="5"/>
        <v>36</v>
      </c>
    </row>
    <row r="53" spans="1:13" ht="15.75" customHeight="1" x14ac:dyDescent="0.3">
      <c r="A53" s="41" t="s">
        <v>28</v>
      </c>
      <c r="B53" s="17" t="s">
        <v>58</v>
      </c>
      <c r="C53" s="42">
        <v>-998.2</v>
      </c>
      <c r="D53" s="17">
        <v>14</v>
      </c>
      <c r="E53" s="17">
        <v>22</v>
      </c>
      <c r="F53" s="17">
        <f t="shared" si="4"/>
        <v>36</v>
      </c>
      <c r="H53" s="41" t="s">
        <v>28</v>
      </c>
      <c r="I53" s="17" t="s">
        <v>58</v>
      </c>
      <c r="J53" s="44">
        <v>2767.6</v>
      </c>
      <c r="K53" s="17">
        <v>24</v>
      </c>
      <c r="L53" s="17">
        <v>10</v>
      </c>
      <c r="M53" s="17">
        <f t="shared" si="5"/>
        <v>34</v>
      </c>
    </row>
    <row r="54" spans="1:13" ht="15.75" customHeight="1" x14ac:dyDescent="0.3">
      <c r="A54" s="43" t="s">
        <v>30</v>
      </c>
      <c r="B54" s="18" t="s">
        <v>58</v>
      </c>
      <c r="C54" s="44">
        <v>909.55</v>
      </c>
      <c r="D54" s="18">
        <v>13</v>
      </c>
      <c r="E54" s="18">
        <v>19</v>
      </c>
      <c r="F54" s="18">
        <f t="shared" si="4"/>
        <v>32</v>
      </c>
      <c r="H54" s="43" t="s">
        <v>30</v>
      </c>
      <c r="I54" s="18" t="s">
        <v>58</v>
      </c>
      <c r="J54" s="42">
        <v>-362.9</v>
      </c>
      <c r="K54" s="18">
        <v>12</v>
      </c>
      <c r="L54" s="18">
        <v>19</v>
      </c>
      <c r="M54" s="18">
        <f t="shared" si="5"/>
        <v>31</v>
      </c>
    </row>
    <row r="55" spans="1:13" ht="15.75" customHeight="1" x14ac:dyDescent="0.3">
      <c r="A55" s="41" t="s">
        <v>32</v>
      </c>
      <c r="B55" s="17" t="s">
        <v>58</v>
      </c>
      <c r="C55" s="44">
        <v>1911.55</v>
      </c>
      <c r="D55" s="17">
        <v>15</v>
      </c>
      <c r="E55" s="17">
        <v>16</v>
      </c>
      <c r="F55" s="17">
        <f t="shared" si="4"/>
        <v>31</v>
      </c>
      <c r="H55" s="41" t="s">
        <v>32</v>
      </c>
      <c r="I55" s="17" t="s">
        <v>58</v>
      </c>
      <c r="J55" s="42">
        <v>-2680.6</v>
      </c>
      <c r="K55" s="17">
        <v>11</v>
      </c>
      <c r="L55" s="17">
        <v>23</v>
      </c>
      <c r="M55" s="17">
        <f t="shared" si="5"/>
        <v>34</v>
      </c>
    </row>
    <row r="56" spans="1:13" ht="15.75" customHeight="1" x14ac:dyDescent="0.3">
      <c r="A56" s="43" t="s">
        <v>34</v>
      </c>
      <c r="B56" s="18" t="s">
        <v>58</v>
      </c>
      <c r="C56" s="44">
        <v>793.92</v>
      </c>
      <c r="D56" s="18">
        <v>13</v>
      </c>
      <c r="E56" s="18">
        <v>17</v>
      </c>
      <c r="F56" s="18">
        <f t="shared" si="4"/>
        <v>30</v>
      </c>
      <c r="H56" s="43" t="s">
        <v>34</v>
      </c>
      <c r="I56" s="18" t="s">
        <v>58</v>
      </c>
      <c r="J56" s="42">
        <v>-1126.58</v>
      </c>
      <c r="K56" s="18">
        <v>16</v>
      </c>
      <c r="L56" s="18">
        <v>19</v>
      </c>
      <c r="M56" s="18">
        <f t="shared" si="5"/>
        <v>35</v>
      </c>
    </row>
    <row r="57" spans="1:13" ht="15.75" customHeight="1" x14ac:dyDescent="0.3">
      <c r="A57" s="41" t="s">
        <v>36</v>
      </c>
      <c r="B57" s="17" t="s">
        <v>58</v>
      </c>
      <c r="C57" s="42">
        <v>-35.299999999999997</v>
      </c>
      <c r="D57" s="17">
        <v>15</v>
      </c>
      <c r="E57" s="17">
        <v>21</v>
      </c>
      <c r="F57" s="17">
        <f t="shared" si="4"/>
        <v>36</v>
      </c>
      <c r="H57" s="41" t="s">
        <v>36</v>
      </c>
      <c r="I57" s="17" t="s">
        <v>58</v>
      </c>
      <c r="J57" s="44">
        <v>148.1</v>
      </c>
      <c r="K57" s="17">
        <v>15</v>
      </c>
      <c r="L57" s="17">
        <v>17</v>
      </c>
      <c r="M57" s="17">
        <f t="shared" si="5"/>
        <v>32</v>
      </c>
    </row>
    <row r="58" spans="1:13" ht="15.75" customHeight="1" x14ac:dyDescent="0.3">
      <c r="A58" s="43" t="s">
        <v>38</v>
      </c>
      <c r="B58" s="18" t="s">
        <v>58</v>
      </c>
      <c r="C58" s="44">
        <v>940.65</v>
      </c>
      <c r="D58" s="18">
        <v>14</v>
      </c>
      <c r="E58" s="18">
        <v>18</v>
      </c>
      <c r="F58" s="18">
        <f t="shared" si="4"/>
        <v>32</v>
      </c>
      <c r="H58" s="43" t="s">
        <v>38</v>
      </c>
      <c r="I58" s="18" t="s">
        <v>58</v>
      </c>
      <c r="J58" s="42">
        <v>-183.85</v>
      </c>
      <c r="K58" s="18">
        <v>15</v>
      </c>
      <c r="L58" s="18">
        <v>19</v>
      </c>
      <c r="M58" s="18">
        <f t="shared" si="5"/>
        <v>34</v>
      </c>
    </row>
    <row r="59" spans="1:13" ht="15.75" customHeight="1" x14ac:dyDescent="0.3">
      <c r="A59" s="41" t="s">
        <v>40</v>
      </c>
      <c r="B59" s="17" t="s">
        <v>58</v>
      </c>
      <c r="C59" s="44">
        <v>756.85</v>
      </c>
      <c r="D59" s="17">
        <v>16</v>
      </c>
      <c r="E59" s="17">
        <v>15</v>
      </c>
      <c r="F59" s="17">
        <f t="shared" si="4"/>
        <v>31</v>
      </c>
      <c r="H59" s="41" t="s">
        <v>40</v>
      </c>
      <c r="I59" s="17" t="s">
        <v>58</v>
      </c>
      <c r="J59" s="44">
        <v>766</v>
      </c>
      <c r="K59" s="17">
        <v>19</v>
      </c>
      <c r="L59" s="17">
        <v>13</v>
      </c>
      <c r="M59" s="17">
        <f t="shared" si="5"/>
        <v>32</v>
      </c>
    </row>
    <row r="60" spans="1:13" ht="15.75" customHeight="1" x14ac:dyDescent="0.3">
      <c r="A60" s="43" t="s">
        <v>42</v>
      </c>
      <c r="B60" s="18" t="s">
        <v>58</v>
      </c>
      <c r="C60" s="44">
        <v>552.65</v>
      </c>
      <c r="D60" s="18">
        <v>14</v>
      </c>
      <c r="E60" s="18">
        <v>18</v>
      </c>
      <c r="F60" s="18">
        <f t="shared" si="4"/>
        <v>32</v>
      </c>
      <c r="H60" s="43" t="s">
        <v>42</v>
      </c>
      <c r="I60" s="18" t="s">
        <v>58</v>
      </c>
      <c r="J60" s="42">
        <v>-1564.4</v>
      </c>
      <c r="K60" s="18">
        <v>9</v>
      </c>
      <c r="L60" s="18">
        <v>22</v>
      </c>
      <c r="M60" s="18">
        <f t="shared" si="5"/>
        <v>31</v>
      </c>
    </row>
    <row r="61" spans="1:13" ht="15.75" customHeight="1" x14ac:dyDescent="0.3">
      <c r="A61" s="41" t="s">
        <v>44</v>
      </c>
      <c r="B61" s="17" t="s">
        <v>58</v>
      </c>
      <c r="C61" s="44">
        <v>114.15</v>
      </c>
      <c r="D61" s="17">
        <v>11</v>
      </c>
      <c r="E61" s="17">
        <v>17</v>
      </c>
      <c r="F61" s="17">
        <f t="shared" si="4"/>
        <v>28</v>
      </c>
      <c r="H61" s="41" t="s">
        <v>44</v>
      </c>
      <c r="I61" s="17" t="s">
        <v>58</v>
      </c>
      <c r="J61" s="44">
        <v>1339.65</v>
      </c>
      <c r="K61" s="17">
        <v>16</v>
      </c>
      <c r="L61" s="17">
        <v>12</v>
      </c>
      <c r="M61" s="17">
        <f t="shared" si="5"/>
        <v>28</v>
      </c>
    </row>
    <row r="62" spans="1:13" ht="24" customHeight="1" x14ac:dyDescent="0.3">
      <c r="A62" s="45" t="s">
        <v>59</v>
      </c>
      <c r="B62" s="45"/>
      <c r="C62" s="21">
        <f>SUM(C47:C61)</f>
        <v>4169.12</v>
      </c>
      <c r="D62" s="45">
        <f>SUM(D47:D61)</f>
        <v>200</v>
      </c>
      <c r="E62" s="45">
        <f>SUM(E47:E61)</f>
        <v>282</v>
      </c>
      <c r="F62" s="45">
        <f>SUM(F47:F61)</f>
        <v>482</v>
      </c>
      <c r="H62" s="45" t="s">
        <v>59</v>
      </c>
      <c r="I62" s="45"/>
      <c r="J62" s="23">
        <f>SUM(J47:J61)</f>
        <v>-1236.33</v>
      </c>
      <c r="K62" s="45">
        <f>SUM(K47:K61)</f>
        <v>228</v>
      </c>
      <c r="L62" s="45">
        <f>SUM(L47:L61)</f>
        <v>261</v>
      </c>
      <c r="M62" s="45">
        <f>SUM(M47:M61)</f>
        <v>489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1167.0999999999999</v>
      </c>
      <c r="D67" s="18">
        <v>16</v>
      </c>
      <c r="E67" s="18">
        <v>12</v>
      </c>
      <c r="F67" s="18">
        <f t="shared" ref="F67:F81" si="6">SUM(D67,E67)</f>
        <v>28</v>
      </c>
      <c r="H67" s="43" t="s">
        <v>16</v>
      </c>
      <c r="I67" s="18" t="s">
        <v>58</v>
      </c>
      <c r="J67" s="42">
        <v>-1486.7</v>
      </c>
      <c r="K67" s="18">
        <v>8</v>
      </c>
      <c r="L67" s="18">
        <v>21</v>
      </c>
      <c r="M67" s="18">
        <f t="shared" ref="M67:M81" si="7">SUM(K67,L67)</f>
        <v>29</v>
      </c>
    </row>
    <row r="68" spans="1:13" ht="15.75" customHeight="1" x14ac:dyDescent="0.3">
      <c r="A68" s="41" t="s">
        <v>18</v>
      </c>
      <c r="B68" s="17" t="s">
        <v>58</v>
      </c>
      <c r="C68" s="42">
        <v>-1814.4</v>
      </c>
      <c r="D68" s="17">
        <v>11</v>
      </c>
      <c r="E68" s="17">
        <v>24</v>
      </c>
      <c r="F68" s="17">
        <f t="shared" si="6"/>
        <v>35</v>
      </c>
      <c r="H68" s="41" t="s">
        <v>18</v>
      </c>
      <c r="I68" s="17" t="s">
        <v>58</v>
      </c>
      <c r="J68" s="44">
        <v>38.75</v>
      </c>
      <c r="K68" s="17">
        <v>15</v>
      </c>
      <c r="L68" s="17">
        <v>19</v>
      </c>
      <c r="M68" s="17">
        <f t="shared" si="7"/>
        <v>34</v>
      </c>
    </row>
    <row r="69" spans="1:13" ht="15.75" customHeight="1" x14ac:dyDescent="0.3">
      <c r="A69" s="43" t="s">
        <v>20</v>
      </c>
      <c r="B69" s="18" t="s">
        <v>58</v>
      </c>
      <c r="C69" s="44">
        <v>118.35</v>
      </c>
      <c r="D69" s="18">
        <v>13</v>
      </c>
      <c r="E69" s="18">
        <v>18</v>
      </c>
      <c r="F69" s="18">
        <f t="shared" si="6"/>
        <v>31</v>
      </c>
      <c r="H69" s="43" t="s">
        <v>20</v>
      </c>
      <c r="I69" s="18" t="s">
        <v>58</v>
      </c>
      <c r="J69" s="44">
        <v>636.79999999999995</v>
      </c>
      <c r="K69" s="18">
        <v>16</v>
      </c>
      <c r="L69" s="18">
        <v>16</v>
      </c>
      <c r="M69" s="18">
        <f t="shared" si="7"/>
        <v>32</v>
      </c>
    </row>
    <row r="70" spans="1:13" ht="15.75" customHeight="1" x14ac:dyDescent="0.3">
      <c r="A70" s="41" t="s">
        <v>22</v>
      </c>
      <c r="B70" s="17" t="s">
        <v>58</v>
      </c>
      <c r="C70" s="42">
        <v>-1449.25</v>
      </c>
      <c r="D70" s="17">
        <v>9</v>
      </c>
      <c r="E70" s="17">
        <v>20</v>
      </c>
      <c r="F70" s="17">
        <f t="shared" si="6"/>
        <v>29</v>
      </c>
      <c r="H70" s="41" t="s">
        <v>22</v>
      </c>
      <c r="I70" s="17" t="s">
        <v>58</v>
      </c>
      <c r="J70" s="44">
        <v>972.55</v>
      </c>
      <c r="K70" s="17">
        <v>16</v>
      </c>
      <c r="L70" s="17">
        <v>16</v>
      </c>
      <c r="M70" s="17">
        <f t="shared" si="7"/>
        <v>32</v>
      </c>
    </row>
    <row r="71" spans="1:13" ht="15.75" customHeight="1" x14ac:dyDescent="0.3">
      <c r="A71" s="43" t="s">
        <v>24</v>
      </c>
      <c r="B71" s="18" t="s">
        <v>58</v>
      </c>
      <c r="C71" s="42">
        <v>-507.95</v>
      </c>
      <c r="D71" s="18">
        <v>13</v>
      </c>
      <c r="E71" s="18">
        <v>22</v>
      </c>
      <c r="F71" s="18">
        <f t="shared" si="6"/>
        <v>35</v>
      </c>
      <c r="H71" s="43" t="s">
        <v>24</v>
      </c>
      <c r="I71" s="18" t="s">
        <v>58</v>
      </c>
      <c r="J71" s="44">
        <v>133</v>
      </c>
      <c r="K71" s="18">
        <v>16</v>
      </c>
      <c r="L71" s="18">
        <v>23</v>
      </c>
      <c r="M71" s="18">
        <f t="shared" si="7"/>
        <v>39</v>
      </c>
    </row>
    <row r="72" spans="1:13" ht="15.75" customHeight="1" x14ac:dyDescent="0.3">
      <c r="A72" s="41" t="s">
        <v>26</v>
      </c>
      <c r="B72" s="17" t="s">
        <v>58</v>
      </c>
      <c r="C72" s="42">
        <v>-487.75</v>
      </c>
      <c r="D72" s="17">
        <v>10</v>
      </c>
      <c r="E72" s="17">
        <v>16</v>
      </c>
      <c r="F72" s="17">
        <f t="shared" si="6"/>
        <v>26</v>
      </c>
      <c r="H72" s="41" t="s">
        <v>26</v>
      </c>
      <c r="I72" s="17" t="s">
        <v>58</v>
      </c>
      <c r="J72" s="44">
        <v>2125.65</v>
      </c>
      <c r="K72" s="17">
        <v>18</v>
      </c>
      <c r="L72" s="17">
        <v>11</v>
      </c>
      <c r="M72" s="17">
        <f t="shared" si="7"/>
        <v>29</v>
      </c>
    </row>
    <row r="73" spans="1:13" ht="15.75" customHeight="1" x14ac:dyDescent="0.3">
      <c r="A73" s="43" t="s">
        <v>28</v>
      </c>
      <c r="B73" s="18" t="s">
        <v>58</v>
      </c>
      <c r="C73" s="42">
        <v>-1525.7</v>
      </c>
      <c r="D73" s="18">
        <v>10</v>
      </c>
      <c r="E73" s="18">
        <v>22</v>
      </c>
      <c r="F73" s="18">
        <f t="shared" si="6"/>
        <v>32</v>
      </c>
      <c r="H73" s="43" t="s">
        <v>28</v>
      </c>
      <c r="I73" s="18" t="s">
        <v>58</v>
      </c>
      <c r="J73" s="44">
        <v>2209.5</v>
      </c>
      <c r="K73" s="18">
        <v>18</v>
      </c>
      <c r="L73" s="18">
        <v>15</v>
      </c>
      <c r="M73" s="18">
        <f t="shared" si="7"/>
        <v>33</v>
      </c>
    </row>
    <row r="74" spans="1:13" ht="15.75" customHeight="1" x14ac:dyDescent="0.3">
      <c r="A74" s="41" t="s">
        <v>30</v>
      </c>
      <c r="B74" s="17" t="s">
        <v>58</v>
      </c>
      <c r="C74" s="42">
        <v>-528.35</v>
      </c>
      <c r="D74" s="17">
        <v>8</v>
      </c>
      <c r="E74" s="17">
        <v>16</v>
      </c>
      <c r="F74" s="17">
        <f t="shared" si="6"/>
        <v>24</v>
      </c>
      <c r="H74" s="41" t="s">
        <v>30</v>
      </c>
      <c r="I74" s="17" t="s">
        <v>58</v>
      </c>
      <c r="J74" s="44">
        <v>8.9</v>
      </c>
      <c r="K74" s="17">
        <v>10</v>
      </c>
      <c r="L74" s="17">
        <v>17</v>
      </c>
      <c r="M74" s="17">
        <f t="shared" si="7"/>
        <v>27</v>
      </c>
    </row>
    <row r="75" spans="1:13" ht="15.75" customHeight="1" x14ac:dyDescent="0.3">
      <c r="A75" s="43" t="s">
        <v>32</v>
      </c>
      <c r="B75" s="18" t="s">
        <v>58</v>
      </c>
      <c r="C75" s="44">
        <v>1587.25</v>
      </c>
      <c r="D75" s="18">
        <v>18</v>
      </c>
      <c r="E75" s="18">
        <v>18</v>
      </c>
      <c r="F75" s="18">
        <f t="shared" si="6"/>
        <v>36</v>
      </c>
      <c r="H75" s="43" t="s">
        <v>32</v>
      </c>
      <c r="I75" s="18" t="s">
        <v>58</v>
      </c>
      <c r="J75" s="44">
        <v>1636</v>
      </c>
      <c r="K75" s="18">
        <v>15</v>
      </c>
      <c r="L75" s="18">
        <v>15</v>
      </c>
      <c r="M75" s="18">
        <f t="shared" si="7"/>
        <v>30</v>
      </c>
    </row>
    <row r="76" spans="1:13" ht="15.75" customHeight="1" x14ac:dyDescent="0.3">
      <c r="A76" s="41" t="s">
        <v>34</v>
      </c>
      <c r="B76" s="17" t="s">
        <v>58</v>
      </c>
      <c r="C76" s="42">
        <v>-829.3</v>
      </c>
      <c r="D76" s="17">
        <v>8</v>
      </c>
      <c r="E76" s="17">
        <v>18</v>
      </c>
      <c r="F76" s="17">
        <f t="shared" si="6"/>
        <v>26</v>
      </c>
      <c r="H76" s="41" t="s">
        <v>34</v>
      </c>
      <c r="I76" s="17" t="s">
        <v>58</v>
      </c>
      <c r="J76" s="44">
        <v>357.95</v>
      </c>
      <c r="K76" s="17">
        <v>14</v>
      </c>
      <c r="L76" s="17">
        <v>16</v>
      </c>
      <c r="M76" s="17">
        <f t="shared" si="7"/>
        <v>30</v>
      </c>
    </row>
    <row r="77" spans="1:13" ht="15.75" customHeight="1" x14ac:dyDescent="0.3">
      <c r="A77" s="43" t="s">
        <v>36</v>
      </c>
      <c r="B77" s="18" t="s">
        <v>58</v>
      </c>
      <c r="C77" s="42">
        <v>-883.65</v>
      </c>
      <c r="D77" s="18">
        <v>15</v>
      </c>
      <c r="E77" s="18">
        <v>23</v>
      </c>
      <c r="F77" s="18">
        <f t="shared" si="6"/>
        <v>38</v>
      </c>
      <c r="H77" s="43" t="s">
        <v>36</v>
      </c>
      <c r="I77" s="18" t="s">
        <v>58</v>
      </c>
      <c r="J77" s="44">
        <v>1307.0999999999999</v>
      </c>
      <c r="K77" s="18">
        <v>14</v>
      </c>
      <c r="L77" s="18">
        <v>23</v>
      </c>
      <c r="M77" s="18">
        <f t="shared" si="7"/>
        <v>37</v>
      </c>
    </row>
    <row r="78" spans="1:13" ht="15.75" customHeight="1" x14ac:dyDescent="0.3">
      <c r="A78" s="41" t="s">
        <v>38</v>
      </c>
      <c r="B78" s="17" t="s">
        <v>58</v>
      </c>
      <c r="C78" s="44">
        <v>1407.05</v>
      </c>
      <c r="D78" s="17">
        <v>15</v>
      </c>
      <c r="E78" s="17">
        <v>10</v>
      </c>
      <c r="F78" s="17">
        <f t="shared" si="6"/>
        <v>25</v>
      </c>
      <c r="H78" s="41" t="s">
        <v>38</v>
      </c>
      <c r="I78" s="17" t="s">
        <v>58</v>
      </c>
      <c r="J78" s="44">
        <v>720.8</v>
      </c>
      <c r="K78" s="17">
        <v>14</v>
      </c>
      <c r="L78" s="17">
        <v>19</v>
      </c>
      <c r="M78" s="17">
        <f t="shared" si="7"/>
        <v>33</v>
      </c>
    </row>
    <row r="79" spans="1:13" ht="15.75" customHeight="1" x14ac:dyDescent="0.3">
      <c r="A79" s="43" t="s">
        <v>40</v>
      </c>
      <c r="B79" s="18" t="s">
        <v>58</v>
      </c>
      <c r="C79" s="42">
        <v>-843.75</v>
      </c>
      <c r="D79" s="18">
        <v>10</v>
      </c>
      <c r="E79" s="18">
        <v>18</v>
      </c>
      <c r="F79" s="18">
        <f t="shared" si="6"/>
        <v>28</v>
      </c>
      <c r="H79" s="43" t="s">
        <v>40</v>
      </c>
      <c r="I79" s="18" t="s">
        <v>58</v>
      </c>
      <c r="J79" s="44">
        <v>136.4</v>
      </c>
      <c r="K79" s="18">
        <v>14</v>
      </c>
      <c r="L79" s="18">
        <v>15</v>
      </c>
      <c r="M79" s="18">
        <f t="shared" si="7"/>
        <v>29</v>
      </c>
    </row>
    <row r="80" spans="1:13" ht="15.75" customHeight="1" x14ac:dyDescent="0.3">
      <c r="A80" s="41" t="s">
        <v>42</v>
      </c>
      <c r="B80" s="17" t="s">
        <v>58</v>
      </c>
      <c r="C80" s="42">
        <v>-692</v>
      </c>
      <c r="D80" s="17">
        <v>10</v>
      </c>
      <c r="E80" s="17">
        <v>16</v>
      </c>
      <c r="F80" s="17">
        <f t="shared" si="6"/>
        <v>26</v>
      </c>
      <c r="H80" s="41" t="s">
        <v>42</v>
      </c>
      <c r="I80" s="17" t="s">
        <v>58</v>
      </c>
      <c r="J80" s="44">
        <v>1771.2</v>
      </c>
      <c r="K80" s="17">
        <v>15</v>
      </c>
      <c r="L80" s="17">
        <v>18</v>
      </c>
      <c r="M80" s="17">
        <f t="shared" si="7"/>
        <v>33</v>
      </c>
    </row>
    <row r="81" spans="1:13" ht="15.75" customHeight="1" x14ac:dyDescent="0.3">
      <c r="A81" s="43" t="s">
        <v>44</v>
      </c>
      <c r="B81" s="18" t="s">
        <v>58</v>
      </c>
      <c r="C81" s="42">
        <v>-810.2</v>
      </c>
      <c r="D81" s="18">
        <v>13</v>
      </c>
      <c r="E81" s="18">
        <v>19</v>
      </c>
      <c r="F81" s="18">
        <f t="shared" si="6"/>
        <v>32</v>
      </c>
      <c r="H81" s="43" t="s">
        <v>44</v>
      </c>
      <c r="I81" s="18" t="s">
        <v>58</v>
      </c>
      <c r="J81" s="44">
        <v>1651.55</v>
      </c>
      <c r="K81" s="18">
        <v>19</v>
      </c>
      <c r="L81" s="18">
        <v>13</v>
      </c>
      <c r="M81" s="18">
        <f t="shared" si="7"/>
        <v>32</v>
      </c>
    </row>
    <row r="82" spans="1:13" ht="24" customHeight="1" x14ac:dyDescent="0.3">
      <c r="A82" s="45" t="s">
        <v>59</v>
      </c>
      <c r="B82" s="45"/>
      <c r="C82" s="23">
        <f>SUM(C67:C81)</f>
        <v>-6092.55</v>
      </c>
      <c r="D82" s="45">
        <f>SUM(D67:D81)</f>
        <v>179</v>
      </c>
      <c r="E82" s="45">
        <f>SUM(E67:E81)</f>
        <v>272</v>
      </c>
      <c r="F82" s="45">
        <f>SUM(F67:F81)</f>
        <v>451</v>
      </c>
      <c r="H82" s="45" t="s">
        <v>59</v>
      </c>
      <c r="I82" s="45"/>
      <c r="J82" s="21">
        <f>SUM(J67:J81)</f>
        <v>12219.449999999999</v>
      </c>
      <c r="K82" s="45">
        <f>SUM(K67:K81)</f>
        <v>222</v>
      </c>
      <c r="L82" s="45">
        <f>SUM(L67:L81)</f>
        <v>257</v>
      </c>
      <c r="M82" s="45">
        <f>SUM(M67:M81)</f>
        <v>479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2913.7299999999987</v>
      </c>
      <c r="E86" s="28">
        <f>SUM(D82,D62,D42,D22)</f>
        <v>817</v>
      </c>
      <c r="F86" s="28">
        <f>SUM(E82,E62,E42,E22)</f>
        <v>1104</v>
      </c>
      <c r="G86" s="28">
        <f>SUM(E86:F86)</f>
        <v>1921</v>
      </c>
      <c r="H86" s="29">
        <f>E86/G86</f>
        <v>0.42529932326913067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16848.36</v>
      </c>
      <c r="E87" s="33">
        <f>SUM(K82,K62,K42,K22)</f>
        <v>908</v>
      </c>
      <c r="F87" s="33">
        <f>SUM(L82,L62,L42,L22)</f>
        <v>1051</v>
      </c>
      <c r="G87" s="33">
        <f>SUM(E87:F87)</f>
        <v>1959</v>
      </c>
      <c r="H87" s="34">
        <f>E87/G87</f>
        <v>0.46350178662582953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19762.09</v>
      </c>
      <c r="E88" s="6">
        <f>SUM(E86:E87)</f>
        <v>1725</v>
      </c>
      <c r="F88" s="6">
        <f>SUM(F86:F87)</f>
        <v>2155</v>
      </c>
      <c r="G88" s="6">
        <f>SUM(G86:G87)</f>
        <v>3880</v>
      </c>
      <c r="H88" s="101">
        <f>AVERAGE(H86,H87)</f>
        <v>0.4444005549474801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M90"/>
  <sheetViews>
    <sheetView showGridLines="0" zoomScaleNormal="100" workbookViewId="0">
      <pane ySplit="2" topLeftCell="A3" activePane="bottomLeft" state="frozen"/>
      <selection pane="bottomLeft" activeCell="A2" sqref="A2:M2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.109375" customWidth="1"/>
    <col min="4" max="4" width="8.5546875" customWidth="1"/>
    <col min="5" max="5" width="7" customWidth="1"/>
    <col min="6" max="6" width="11" customWidth="1"/>
    <col min="7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4">
        <v>809.6</v>
      </c>
      <c r="D7" s="17">
        <v>50</v>
      </c>
      <c r="E7" s="17">
        <v>76</v>
      </c>
      <c r="F7" s="17">
        <f t="shared" ref="F7:F21" si="0">SUM(D7,E7)</f>
        <v>126</v>
      </c>
      <c r="H7" s="41" t="s">
        <v>16</v>
      </c>
      <c r="I7" s="17" t="s">
        <v>58</v>
      </c>
      <c r="J7" s="44">
        <v>1804.65</v>
      </c>
      <c r="K7" s="17">
        <v>54</v>
      </c>
      <c r="L7" s="17">
        <v>60</v>
      </c>
      <c r="M7" s="17">
        <f t="shared" ref="M7:M21" si="1">SUM(K7,L7)</f>
        <v>114</v>
      </c>
    </row>
    <row r="8" spans="1:13" ht="15.75" customHeight="1" x14ac:dyDescent="0.3">
      <c r="A8" s="43" t="s">
        <v>18</v>
      </c>
      <c r="B8" s="18" t="s">
        <v>58</v>
      </c>
      <c r="C8" s="44">
        <v>3345.5</v>
      </c>
      <c r="D8" s="18">
        <v>62</v>
      </c>
      <c r="E8" s="18">
        <v>74</v>
      </c>
      <c r="F8" s="18">
        <f t="shared" si="0"/>
        <v>136</v>
      </c>
      <c r="H8" s="43" t="s">
        <v>18</v>
      </c>
      <c r="I8" s="18" t="s">
        <v>58</v>
      </c>
      <c r="J8" s="42">
        <v>-6938.1</v>
      </c>
      <c r="K8" s="18">
        <v>39</v>
      </c>
      <c r="L8" s="18">
        <v>94</v>
      </c>
      <c r="M8" s="18">
        <f t="shared" si="1"/>
        <v>133</v>
      </c>
    </row>
    <row r="9" spans="1:13" ht="15.75" customHeight="1" x14ac:dyDescent="0.3">
      <c r="A9" s="41" t="s">
        <v>20</v>
      </c>
      <c r="B9" s="17" t="s">
        <v>58</v>
      </c>
      <c r="C9" s="44">
        <v>2020.2</v>
      </c>
      <c r="D9" s="17">
        <v>56</v>
      </c>
      <c r="E9" s="17">
        <v>67</v>
      </c>
      <c r="F9" s="17">
        <f t="shared" si="0"/>
        <v>123</v>
      </c>
      <c r="H9" s="41" t="s">
        <v>20</v>
      </c>
      <c r="I9" s="17" t="s">
        <v>58</v>
      </c>
      <c r="J9" s="42">
        <v>-1395.35</v>
      </c>
      <c r="K9" s="17">
        <v>46</v>
      </c>
      <c r="L9" s="17">
        <v>80</v>
      </c>
      <c r="M9" s="17">
        <f t="shared" si="1"/>
        <v>126</v>
      </c>
    </row>
    <row r="10" spans="1:13" ht="15.75" customHeight="1" x14ac:dyDescent="0.3">
      <c r="A10" s="43" t="s">
        <v>22</v>
      </c>
      <c r="B10" s="18" t="s">
        <v>58</v>
      </c>
      <c r="C10" s="42">
        <v>-192.6</v>
      </c>
      <c r="D10" s="18">
        <v>51</v>
      </c>
      <c r="E10" s="18">
        <v>95</v>
      </c>
      <c r="F10" s="18">
        <f t="shared" si="0"/>
        <v>146</v>
      </c>
      <c r="H10" s="43" t="s">
        <v>22</v>
      </c>
      <c r="I10" s="18" t="s">
        <v>58</v>
      </c>
      <c r="J10" s="42">
        <v>-473.1</v>
      </c>
      <c r="K10" s="18">
        <v>60</v>
      </c>
      <c r="L10" s="18">
        <v>82</v>
      </c>
      <c r="M10" s="18">
        <f t="shared" si="1"/>
        <v>142</v>
      </c>
    </row>
    <row r="11" spans="1:13" ht="15.75" customHeight="1" x14ac:dyDescent="0.3">
      <c r="A11" s="41" t="s">
        <v>24</v>
      </c>
      <c r="B11" s="17" t="s">
        <v>58</v>
      </c>
      <c r="C11" s="44">
        <v>376.81</v>
      </c>
      <c r="D11" s="17">
        <v>45</v>
      </c>
      <c r="E11" s="17">
        <v>61</v>
      </c>
      <c r="F11" s="17">
        <f t="shared" si="0"/>
        <v>106</v>
      </c>
      <c r="H11" s="41" t="s">
        <v>24</v>
      </c>
      <c r="I11" s="17" t="s">
        <v>58</v>
      </c>
      <c r="J11" s="42">
        <v>-2851.93</v>
      </c>
      <c r="K11" s="17">
        <v>43</v>
      </c>
      <c r="L11" s="17">
        <v>60</v>
      </c>
      <c r="M11" s="17">
        <f t="shared" si="1"/>
        <v>103</v>
      </c>
    </row>
    <row r="12" spans="1:13" ht="15.75" customHeight="1" x14ac:dyDescent="0.3">
      <c r="A12" s="43" t="s">
        <v>26</v>
      </c>
      <c r="B12" s="18" t="s">
        <v>58</v>
      </c>
      <c r="C12" s="42">
        <v>-602.25</v>
      </c>
      <c r="D12" s="18">
        <v>50</v>
      </c>
      <c r="E12" s="18">
        <v>68</v>
      </c>
      <c r="F12" s="18">
        <f t="shared" si="0"/>
        <v>118</v>
      </c>
      <c r="H12" s="43" t="s">
        <v>26</v>
      </c>
      <c r="I12" s="18" t="s">
        <v>58</v>
      </c>
      <c r="J12" s="42">
        <v>-37.299999999999997</v>
      </c>
      <c r="K12" s="18">
        <v>42</v>
      </c>
      <c r="L12" s="18">
        <v>69</v>
      </c>
      <c r="M12" s="18">
        <f t="shared" si="1"/>
        <v>111</v>
      </c>
    </row>
    <row r="13" spans="1:13" ht="15.75" customHeight="1" x14ac:dyDescent="0.3">
      <c r="A13" s="41" t="s">
        <v>28</v>
      </c>
      <c r="B13" s="17" t="s">
        <v>58</v>
      </c>
      <c r="C13" s="44">
        <v>3334.5</v>
      </c>
      <c r="D13" s="17">
        <v>62</v>
      </c>
      <c r="E13" s="17">
        <v>65</v>
      </c>
      <c r="F13" s="17">
        <f t="shared" si="0"/>
        <v>127</v>
      </c>
      <c r="H13" s="41" t="s">
        <v>28</v>
      </c>
      <c r="I13" s="17" t="s">
        <v>58</v>
      </c>
      <c r="J13" s="42">
        <v>-5659.85</v>
      </c>
      <c r="K13" s="17">
        <v>47</v>
      </c>
      <c r="L13" s="17">
        <v>95</v>
      </c>
      <c r="M13" s="17">
        <f t="shared" si="1"/>
        <v>142</v>
      </c>
    </row>
    <row r="14" spans="1:13" ht="15.75" customHeight="1" x14ac:dyDescent="0.3">
      <c r="A14" s="43" t="s">
        <v>30</v>
      </c>
      <c r="B14" s="18" t="s">
        <v>58</v>
      </c>
      <c r="C14" s="42">
        <v>-1160.05</v>
      </c>
      <c r="D14" s="18">
        <v>49</v>
      </c>
      <c r="E14" s="18">
        <v>66</v>
      </c>
      <c r="F14" s="18">
        <f t="shared" si="0"/>
        <v>115</v>
      </c>
      <c r="H14" s="43" t="s">
        <v>30</v>
      </c>
      <c r="I14" s="18" t="s">
        <v>58</v>
      </c>
      <c r="J14" s="42">
        <v>-3052.05</v>
      </c>
      <c r="K14" s="18">
        <v>42</v>
      </c>
      <c r="L14" s="18">
        <v>77</v>
      </c>
      <c r="M14" s="18">
        <f t="shared" si="1"/>
        <v>119</v>
      </c>
    </row>
    <row r="15" spans="1:13" ht="15.75" customHeight="1" x14ac:dyDescent="0.3">
      <c r="A15" s="41" t="s">
        <v>32</v>
      </c>
      <c r="B15" s="17" t="s">
        <v>58</v>
      </c>
      <c r="C15" s="44">
        <v>1850.9</v>
      </c>
      <c r="D15" s="17">
        <v>55</v>
      </c>
      <c r="E15" s="17">
        <v>72</v>
      </c>
      <c r="F15" s="17">
        <f t="shared" si="0"/>
        <v>127</v>
      </c>
      <c r="H15" s="41" t="s">
        <v>32</v>
      </c>
      <c r="I15" s="17" t="s">
        <v>58</v>
      </c>
      <c r="J15" s="42">
        <v>-2818.15</v>
      </c>
      <c r="K15" s="17">
        <v>38</v>
      </c>
      <c r="L15" s="17">
        <v>68</v>
      </c>
      <c r="M15" s="17">
        <f t="shared" si="1"/>
        <v>106</v>
      </c>
    </row>
    <row r="16" spans="1:13" ht="15.75" customHeight="1" x14ac:dyDescent="0.3">
      <c r="A16" s="43" t="s">
        <v>34</v>
      </c>
      <c r="B16" s="18" t="s">
        <v>58</v>
      </c>
      <c r="C16" s="44">
        <v>3578.7</v>
      </c>
      <c r="D16" s="18">
        <v>59</v>
      </c>
      <c r="E16" s="18">
        <v>64</v>
      </c>
      <c r="F16" s="18">
        <f t="shared" si="0"/>
        <v>123</v>
      </c>
      <c r="H16" s="43" t="s">
        <v>34</v>
      </c>
      <c r="I16" s="18" t="s">
        <v>58</v>
      </c>
      <c r="J16" s="42">
        <v>-5212.53</v>
      </c>
      <c r="K16" s="18">
        <v>47</v>
      </c>
      <c r="L16" s="18">
        <v>92</v>
      </c>
      <c r="M16" s="18">
        <f t="shared" si="1"/>
        <v>139</v>
      </c>
    </row>
    <row r="17" spans="1:13" ht="15.75" customHeight="1" x14ac:dyDescent="0.3">
      <c r="A17" s="41" t="s">
        <v>36</v>
      </c>
      <c r="B17" s="17" t="s">
        <v>58</v>
      </c>
      <c r="C17" s="44">
        <v>2489.91</v>
      </c>
      <c r="D17" s="17">
        <v>57</v>
      </c>
      <c r="E17" s="17">
        <v>71</v>
      </c>
      <c r="F17" s="17">
        <f t="shared" si="0"/>
        <v>128</v>
      </c>
      <c r="H17" s="41" t="s">
        <v>36</v>
      </c>
      <c r="I17" s="17" t="s">
        <v>58</v>
      </c>
      <c r="J17" s="42">
        <v>-4872.53</v>
      </c>
      <c r="K17" s="17">
        <v>48</v>
      </c>
      <c r="L17" s="17">
        <v>94</v>
      </c>
      <c r="M17" s="17">
        <f t="shared" si="1"/>
        <v>142</v>
      </c>
    </row>
    <row r="18" spans="1:13" ht="15.75" customHeight="1" x14ac:dyDescent="0.3">
      <c r="A18" s="43" t="s">
        <v>38</v>
      </c>
      <c r="B18" s="18" t="s">
        <v>58</v>
      </c>
      <c r="C18" s="44">
        <v>3058.5</v>
      </c>
      <c r="D18" s="18">
        <v>52</v>
      </c>
      <c r="E18" s="18">
        <v>58</v>
      </c>
      <c r="F18" s="18">
        <f t="shared" si="0"/>
        <v>110</v>
      </c>
      <c r="H18" s="43" t="s">
        <v>38</v>
      </c>
      <c r="I18" s="18" t="s">
        <v>58</v>
      </c>
      <c r="J18" s="42">
        <v>-3210.15</v>
      </c>
      <c r="K18" s="18">
        <v>43</v>
      </c>
      <c r="L18" s="18">
        <v>69</v>
      </c>
      <c r="M18" s="18">
        <f t="shared" si="1"/>
        <v>112</v>
      </c>
    </row>
    <row r="19" spans="1:13" ht="15.75" customHeight="1" x14ac:dyDescent="0.3">
      <c r="A19" s="41" t="s">
        <v>40</v>
      </c>
      <c r="B19" s="17" t="s">
        <v>58</v>
      </c>
      <c r="C19" s="44">
        <v>1910.7</v>
      </c>
      <c r="D19" s="17">
        <v>60</v>
      </c>
      <c r="E19" s="17">
        <v>64</v>
      </c>
      <c r="F19" s="17">
        <f t="shared" si="0"/>
        <v>124</v>
      </c>
      <c r="H19" s="41" t="s">
        <v>40</v>
      </c>
      <c r="I19" s="17" t="s">
        <v>58</v>
      </c>
      <c r="J19" s="42">
        <v>-435.65</v>
      </c>
      <c r="K19" s="17">
        <v>50</v>
      </c>
      <c r="L19" s="17">
        <v>64</v>
      </c>
      <c r="M19" s="17">
        <f t="shared" si="1"/>
        <v>114</v>
      </c>
    </row>
    <row r="20" spans="1:13" ht="15.75" customHeight="1" x14ac:dyDescent="0.3">
      <c r="A20" s="43" t="s">
        <v>42</v>
      </c>
      <c r="B20" s="18" t="s">
        <v>58</v>
      </c>
      <c r="C20" s="44">
        <v>548.29999999999995</v>
      </c>
      <c r="D20" s="18">
        <v>56</v>
      </c>
      <c r="E20" s="18">
        <v>71</v>
      </c>
      <c r="F20" s="18">
        <f t="shared" si="0"/>
        <v>127</v>
      </c>
      <c r="H20" s="43" t="s">
        <v>42</v>
      </c>
      <c r="I20" s="18" t="s">
        <v>58</v>
      </c>
      <c r="J20" s="42">
        <v>-197.55</v>
      </c>
      <c r="K20" s="18">
        <v>49</v>
      </c>
      <c r="L20" s="18">
        <v>68</v>
      </c>
      <c r="M20" s="18">
        <f t="shared" si="1"/>
        <v>117</v>
      </c>
    </row>
    <row r="21" spans="1:13" ht="15.75" customHeight="1" x14ac:dyDescent="0.3">
      <c r="A21" s="41" t="s">
        <v>44</v>
      </c>
      <c r="B21" s="17" t="s">
        <v>58</v>
      </c>
      <c r="C21" s="44">
        <v>726.55</v>
      </c>
      <c r="D21" s="17">
        <v>46</v>
      </c>
      <c r="E21" s="17">
        <v>51</v>
      </c>
      <c r="F21" s="17">
        <f t="shared" si="0"/>
        <v>97</v>
      </c>
      <c r="H21" s="41" t="s">
        <v>44</v>
      </c>
      <c r="I21" s="17" t="s">
        <v>58</v>
      </c>
      <c r="J21" s="42">
        <v>-430.3</v>
      </c>
      <c r="K21" s="17">
        <v>45</v>
      </c>
      <c r="L21" s="17">
        <v>52</v>
      </c>
      <c r="M21" s="17">
        <f t="shared" si="1"/>
        <v>97</v>
      </c>
    </row>
    <row r="22" spans="1:13" ht="24" customHeight="1" x14ac:dyDescent="0.3">
      <c r="A22" s="45" t="s">
        <v>59</v>
      </c>
      <c r="B22" s="45"/>
      <c r="C22" s="21">
        <f>SUM(C7:C21)</f>
        <v>22095.27</v>
      </c>
      <c r="D22" s="45">
        <f>SUM(D7:D21)</f>
        <v>810</v>
      </c>
      <c r="E22" s="45">
        <f>SUM(E7:E21)</f>
        <v>1023</v>
      </c>
      <c r="F22" s="45">
        <f>SUM(F7:F21)</f>
        <v>1833</v>
      </c>
      <c r="H22" s="45" t="s">
        <v>59</v>
      </c>
      <c r="I22" s="45"/>
      <c r="J22" s="23">
        <f>SUM(J7:J21)</f>
        <v>-35779.890000000007</v>
      </c>
      <c r="K22" s="45">
        <f>SUM(K7:K21)</f>
        <v>693</v>
      </c>
      <c r="L22" s="45">
        <f>SUM(L7:L21)</f>
        <v>1124</v>
      </c>
      <c r="M22" s="45">
        <f>SUM(M7:M21)</f>
        <v>1817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-3774.4</v>
      </c>
      <c r="D27" s="18">
        <v>44</v>
      </c>
      <c r="E27" s="18">
        <v>79</v>
      </c>
      <c r="F27" s="18">
        <f t="shared" ref="F27:F41" si="2">SUM(D27,E27)</f>
        <v>123</v>
      </c>
      <c r="H27" s="43" t="s">
        <v>16</v>
      </c>
      <c r="I27" s="18" t="s">
        <v>58</v>
      </c>
      <c r="J27" s="44">
        <v>2869.15</v>
      </c>
      <c r="K27" s="18">
        <v>50</v>
      </c>
      <c r="L27" s="18">
        <v>50</v>
      </c>
      <c r="M27" s="18">
        <f t="shared" ref="M27:M41" si="3">SUM(K27,L27)</f>
        <v>100</v>
      </c>
    </row>
    <row r="28" spans="1:13" ht="15.75" customHeight="1" x14ac:dyDescent="0.3">
      <c r="A28" s="41" t="s">
        <v>18</v>
      </c>
      <c r="B28" s="17" t="s">
        <v>58</v>
      </c>
      <c r="C28" s="42">
        <v>-3274.35</v>
      </c>
      <c r="D28" s="17">
        <v>47</v>
      </c>
      <c r="E28" s="17">
        <v>81</v>
      </c>
      <c r="F28" s="17">
        <f t="shared" si="2"/>
        <v>128</v>
      </c>
      <c r="H28" s="41" t="s">
        <v>18</v>
      </c>
      <c r="I28" s="17" t="s">
        <v>58</v>
      </c>
      <c r="J28" s="44">
        <v>1197.45</v>
      </c>
      <c r="K28" s="17">
        <v>50</v>
      </c>
      <c r="L28" s="17">
        <v>59</v>
      </c>
      <c r="M28" s="17">
        <f t="shared" si="3"/>
        <v>109</v>
      </c>
    </row>
    <row r="29" spans="1:13" ht="15.75" customHeight="1" x14ac:dyDescent="0.3">
      <c r="A29" s="43" t="s">
        <v>20</v>
      </c>
      <c r="B29" s="18" t="s">
        <v>58</v>
      </c>
      <c r="C29" s="42">
        <v>-2944.7</v>
      </c>
      <c r="D29" s="18">
        <v>52</v>
      </c>
      <c r="E29" s="18">
        <v>80</v>
      </c>
      <c r="F29" s="18">
        <f t="shared" si="2"/>
        <v>132</v>
      </c>
      <c r="H29" s="43" t="s">
        <v>20</v>
      </c>
      <c r="I29" s="18" t="s">
        <v>58</v>
      </c>
      <c r="J29" s="44">
        <v>4325.75</v>
      </c>
      <c r="K29" s="18">
        <v>60</v>
      </c>
      <c r="L29" s="18">
        <v>50</v>
      </c>
      <c r="M29" s="18">
        <f t="shared" si="3"/>
        <v>110</v>
      </c>
    </row>
    <row r="30" spans="1:13" ht="15.75" customHeight="1" x14ac:dyDescent="0.3">
      <c r="A30" s="41" t="s">
        <v>22</v>
      </c>
      <c r="B30" s="17" t="s">
        <v>58</v>
      </c>
      <c r="C30" s="42">
        <v>-1942.8</v>
      </c>
      <c r="D30" s="17">
        <v>49</v>
      </c>
      <c r="E30" s="17">
        <v>83</v>
      </c>
      <c r="F30" s="17">
        <f t="shared" si="2"/>
        <v>132</v>
      </c>
      <c r="H30" s="41" t="s">
        <v>22</v>
      </c>
      <c r="I30" s="17" t="s">
        <v>58</v>
      </c>
      <c r="J30" s="44">
        <v>1590.85</v>
      </c>
      <c r="K30" s="17">
        <v>51</v>
      </c>
      <c r="L30" s="17">
        <v>66</v>
      </c>
      <c r="M30" s="17">
        <f t="shared" si="3"/>
        <v>117</v>
      </c>
    </row>
    <row r="31" spans="1:13" ht="15.75" customHeight="1" x14ac:dyDescent="0.3">
      <c r="A31" s="43" t="s">
        <v>24</v>
      </c>
      <c r="B31" s="18" t="s">
        <v>58</v>
      </c>
      <c r="C31" s="44">
        <v>236.1</v>
      </c>
      <c r="D31" s="18">
        <v>54</v>
      </c>
      <c r="E31" s="18">
        <v>67</v>
      </c>
      <c r="F31" s="18">
        <f t="shared" si="2"/>
        <v>121</v>
      </c>
      <c r="H31" s="43" t="s">
        <v>24</v>
      </c>
      <c r="I31" s="18" t="s">
        <v>58</v>
      </c>
      <c r="J31" s="44">
        <v>2294.3000000000002</v>
      </c>
      <c r="K31" s="18">
        <v>54</v>
      </c>
      <c r="L31" s="18">
        <v>57</v>
      </c>
      <c r="M31" s="18">
        <f t="shared" si="3"/>
        <v>111</v>
      </c>
    </row>
    <row r="32" spans="1:13" ht="15.75" customHeight="1" x14ac:dyDescent="0.3">
      <c r="A32" s="41" t="s">
        <v>26</v>
      </c>
      <c r="B32" s="17" t="s">
        <v>58</v>
      </c>
      <c r="C32" s="42">
        <v>-1725.45</v>
      </c>
      <c r="D32" s="17">
        <v>40</v>
      </c>
      <c r="E32" s="17">
        <v>52</v>
      </c>
      <c r="F32" s="17">
        <f t="shared" si="2"/>
        <v>92</v>
      </c>
      <c r="H32" s="41" t="s">
        <v>26</v>
      </c>
      <c r="I32" s="17" t="s">
        <v>58</v>
      </c>
      <c r="J32" s="44">
        <v>2287.6999999999998</v>
      </c>
      <c r="K32" s="17">
        <v>47</v>
      </c>
      <c r="L32" s="17">
        <v>40</v>
      </c>
      <c r="M32" s="17">
        <f t="shared" si="3"/>
        <v>87</v>
      </c>
    </row>
    <row r="33" spans="1:13" ht="15.75" customHeight="1" x14ac:dyDescent="0.3">
      <c r="A33" s="43" t="s">
        <v>28</v>
      </c>
      <c r="B33" s="18" t="s">
        <v>58</v>
      </c>
      <c r="C33" s="42">
        <v>-965.1</v>
      </c>
      <c r="D33" s="18">
        <v>47</v>
      </c>
      <c r="E33" s="18">
        <v>85</v>
      </c>
      <c r="F33" s="18">
        <f t="shared" si="2"/>
        <v>132</v>
      </c>
      <c r="H33" s="43" t="s">
        <v>28</v>
      </c>
      <c r="I33" s="18" t="s">
        <v>58</v>
      </c>
      <c r="J33" s="44">
        <v>506.85</v>
      </c>
      <c r="K33" s="18">
        <v>54</v>
      </c>
      <c r="L33" s="18">
        <v>68</v>
      </c>
      <c r="M33" s="18">
        <f t="shared" si="3"/>
        <v>122</v>
      </c>
    </row>
    <row r="34" spans="1:13" ht="15.75" customHeight="1" x14ac:dyDescent="0.3">
      <c r="A34" s="41" t="s">
        <v>30</v>
      </c>
      <c r="B34" s="17" t="s">
        <v>58</v>
      </c>
      <c r="C34" s="44">
        <v>2268.0500000000002</v>
      </c>
      <c r="D34" s="17">
        <v>50</v>
      </c>
      <c r="E34" s="17">
        <v>57</v>
      </c>
      <c r="F34" s="17">
        <f t="shared" si="2"/>
        <v>107</v>
      </c>
      <c r="H34" s="41" t="s">
        <v>30</v>
      </c>
      <c r="I34" s="17" t="s">
        <v>58</v>
      </c>
      <c r="J34" s="42">
        <v>-2230.8000000000002</v>
      </c>
      <c r="K34" s="17">
        <v>37</v>
      </c>
      <c r="L34" s="17">
        <v>69</v>
      </c>
      <c r="M34" s="17">
        <f t="shared" si="3"/>
        <v>106</v>
      </c>
    </row>
    <row r="35" spans="1:13" ht="15.75" customHeight="1" x14ac:dyDescent="0.3">
      <c r="A35" s="43" t="s">
        <v>32</v>
      </c>
      <c r="B35" s="18" t="s">
        <v>58</v>
      </c>
      <c r="C35" s="42">
        <v>-2673.2</v>
      </c>
      <c r="D35" s="18">
        <v>39</v>
      </c>
      <c r="E35" s="18">
        <v>73</v>
      </c>
      <c r="F35" s="18">
        <f t="shared" si="2"/>
        <v>112</v>
      </c>
      <c r="H35" s="43" t="s">
        <v>32</v>
      </c>
      <c r="I35" s="18" t="s">
        <v>58</v>
      </c>
      <c r="J35" s="42">
        <v>-614.85</v>
      </c>
      <c r="K35" s="18">
        <v>46</v>
      </c>
      <c r="L35" s="18">
        <v>63</v>
      </c>
      <c r="M35" s="18">
        <f t="shared" si="3"/>
        <v>109</v>
      </c>
    </row>
    <row r="36" spans="1:13" ht="15.75" customHeight="1" x14ac:dyDescent="0.3">
      <c r="A36" s="41" t="s">
        <v>34</v>
      </c>
      <c r="B36" s="17" t="s">
        <v>58</v>
      </c>
      <c r="C36" s="44">
        <v>1065.92</v>
      </c>
      <c r="D36" s="17">
        <v>46</v>
      </c>
      <c r="E36" s="17">
        <v>65</v>
      </c>
      <c r="F36" s="17">
        <f t="shared" si="2"/>
        <v>111</v>
      </c>
      <c r="H36" s="41" t="s">
        <v>34</v>
      </c>
      <c r="I36" s="17" t="s">
        <v>58</v>
      </c>
      <c r="J36" s="44">
        <v>1016.83</v>
      </c>
      <c r="K36" s="17">
        <v>54</v>
      </c>
      <c r="L36" s="17">
        <v>60</v>
      </c>
      <c r="M36" s="17">
        <f t="shared" si="3"/>
        <v>114</v>
      </c>
    </row>
    <row r="37" spans="1:13" ht="15.75" customHeight="1" x14ac:dyDescent="0.3">
      <c r="A37" s="43" t="s">
        <v>36</v>
      </c>
      <c r="B37" s="18" t="s">
        <v>58</v>
      </c>
      <c r="C37" s="42">
        <v>-2007.45</v>
      </c>
      <c r="D37" s="18">
        <v>40</v>
      </c>
      <c r="E37" s="18">
        <v>77</v>
      </c>
      <c r="F37" s="18">
        <f t="shared" si="2"/>
        <v>117</v>
      </c>
      <c r="H37" s="43" t="s">
        <v>36</v>
      </c>
      <c r="I37" s="18" t="s">
        <v>58</v>
      </c>
      <c r="J37" s="44">
        <v>3396.35</v>
      </c>
      <c r="K37" s="18">
        <v>52</v>
      </c>
      <c r="L37" s="18">
        <v>55</v>
      </c>
      <c r="M37" s="18">
        <f t="shared" si="3"/>
        <v>107</v>
      </c>
    </row>
    <row r="38" spans="1:13" ht="15.75" customHeight="1" x14ac:dyDescent="0.3">
      <c r="A38" s="41" t="s">
        <v>38</v>
      </c>
      <c r="B38" s="17" t="s">
        <v>58</v>
      </c>
      <c r="C38" s="44">
        <v>994.95</v>
      </c>
      <c r="D38" s="17">
        <v>53</v>
      </c>
      <c r="E38" s="17">
        <v>52</v>
      </c>
      <c r="F38" s="17">
        <f t="shared" si="2"/>
        <v>105</v>
      </c>
      <c r="H38" s="41" t="s">
        <v>38</v>
      </c>
      <c r="I38" s="17" t="s">
        <v>58</v>
      </c>
      <c r="J38" s="42">
        <v>-1717.7</v>
      </c>
      <c r="K38" s="17">
        <v>39</v>
      </c>
      <c r="L38" s="17">
        <v>56</v>
      </c>
      <c r="M38" s="17">
        <f t="shared" si="3"/>
        <v>95</v>
      </c>
    </row>
    <row r="39" spans="1:13" ht="15.75" customHeight="1" x14ac:dyDescent="0.3">
      <c r="A39" s="43" t="s">
        <v>40</v>
      </c>
      <c r="B39" s="18" t="s">
        <v>58</v>
      </c>
      <c r="C39" s="44">
        <v>182.6</v>
      </c>
      <c r="D39" s="18">
        <v>43</v>
      </c>
      <c r="E39" s="18">
        <v>63</v>
      </c>
      <c r="F39" s="18">
        <f t="shared" si="2"/>
        <v>106</v>
      </c>
      <c r="H39" s="43" t="s">
        <v>40</v>
      </c>
      <c r="I39" s="18" t="s">
        <v>58</v>
      </c>
      <c r="J39" s="44">
        <v>1355.1</v>
      </c>
      <c r="K39" s="18">
        <v>43</v>
      </c>
      <c r="L39" s="18">
        <v>54</v>
      </c>
      <c r="M39" s="18">
        <f t="shared" si="3"/>
        <v>97</v>
      </c>
    </row>
    <row r="40" spans="1:13" ht="15.75" customHeight="1" x14ac:dyDescent="0.3">
      <c r="A40" s="41" t="s">
        <v>42</v>
      </c>
      <c r="B40" s="17" t="s">
        <v>58</v>
      </c>
      <c r="C40" s="42">
        <v>-1010.15</v>
      </c>
      <c r="D40" s="17">
        <v>44</v>
      </c>
      <c r="E40" s="17">
        <v>60</v>
      </c>
      <c r="F40" s="17">
        <f t="shared" si="2"/>
        <v>104</v>
      </c>
      <c r="H40" s="41" t="s">
        <v>42</v>
      </c>
      <c r="I40" s="17" t="s">
        <v>58</v>
      </c>
      <c r="J40" s="44">
        <v>674.25</v>
      </c>
      <c r="K40" s="17">
        <v>47</v>
      </c>
      <c r="L40" s="17">
        <v>54</v>
      </c>
      <c r="M40" s="17">
        <f t="shared" si="3"/>
        <v>101</v>
      </c>
    </row>
    <row r="41" spans="1:13" ht="15.75" customHeight="1" x14ac:dyDescent="0.3">
      <c r="A41" s="43" t="s">
        <v>44</v>
      </c>
      <c r="B41" s="18" t="s">
        <v>58</v>
      </c>
      <c r="C41" s="42">
        <v>-1141.3</v>
      </c>
      <c r="D41" s="18">
        <v>40</v>
      </c>
      <c r="E41" s="18">
        <v>47</v>
      </c>
      <c r="F41" s="18">
        <f t="shared" si="2"/>
        <v>87</v>
      </c>
      <c r="H41" s="43" t="s">
        <v>44</v>
      </c>
      <c r="I41" s="18" t="s">
        <v>58</v>
      </c>
      <c r="J41" s="42">
        <v>-1018.45</v>
      </c>
      <c r="K41" s="18">
        <v>42</v>
      </c>
      <c r="L41" s="18">
        <v>55</v>
      </c>
      <c r="M41" s="18">
        <f t="shared" si="3"/>
        <v>97</v>
      </c>
    </row>
    <row r="42" spans="1:13" ht="24" customHeight="1" x14ac:dyDescent="0.3">
      <c r="A42" s="45" t="s">
        <v>59</v>
      </c>
      <c r="B42" s="45"/>
      <c r="C42" s="21">
        <f>SUM(C27:C41)</f>
        <v>-16711.280000000002</v>
      </c>
      <c r="D42" s="45">
        <f>SUM(D27:D41)</f>
        <v>688</v>
      </c>
      <c r="E42" s="45">
        <f>SUM(E27:E41)</f>
        <v>1021</v>
      </c>
      <c r="F42" s="45">
        <f>SUM(F27:F41)</f>
        <v>1709</v>
      </c>
      <c r="H42" s="45" t="s">
        <v>59</v>
      </c>
      <c r="I42" s="45"/>
      <c r="J42" s="21">
        <f>SUM(J27:J41)</f>
        <v>15932.779999999995</v>
      </c>
      <c r="K42" s="45">
        <f>SUM(K27:K41)</f>
        <v>726</v>
      </c>
      <c r="L42" s="45">
        <f>SUM(L27:L41)</f>
        <v>856</v>
      </c>
      <c r="M42" s="45">
        <f>SUM(M27:M41)</f>
        <v>1582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2">
        <v>-587.85</v>
      </c>
      <c r="D47" s="17">
        <v>47</v>
      </c>
      <c r="E47" s="17">
        <v>62</v>
      </c>
      <c r="F47" s="17">
        <f t="shared" ref="F47:F61" si="4">SUM(D47,E47)</f>
        <v>109</v>
      </c>
      <c r="H47" s="41" t="s">
        <v>16</v>
      </c>
      <c r="I47" s="17" t="s">
        <v>58</v>
      </c>
      <c r="J47" s="44">
        <v>828.05</v>
      </c>
      <c r="K47" s="17">
        <v>49</v>
      </c>
      <c r="L47" s="17">
        <v>61</v>
      </c>
      <c r="M47" s="17">
        <f t="shared" ref="M47:M61" si="5">SUM(K47,L47)</f>
        <v>110</v>
      </c>
    </row>
    <row r="48" spans="1:13" ht="15.75" customHeight="1" x14ac:dyDescent="0.3">
      <c r="A48" s="43" t="s">
        <v>18</v>
      </c>
      <c r="B48" s="18" t="s">
        <v>58</v>
      </c>
      <c r="C48" s="42">
        <v>-3889.8</v>
      </c>
      <c r="D48" s="18">
        <v>38</v>
      </c>
      <c r="E48" s="18">
        <v>84</v>
      </c>
      <c r="F48" s="18">
        <f t="shared" si="4"/>
        <v>122</v>
      </c>
      <c r="H48" s="43" t="s">
        <v>18</v>
      </c>
      <c r="I48" s="18" t="s">
        <v>58</v>
      </c>
      <c r="J48" s="44">
        <v>1905.1</v>
      </c>
      <c r="K48" s="18">
        <v>48</v>
      </c>
      <c r="L48" s="18">
        <v>56</v>
      </c>
      <c r="M48" s="18">
        <f t="shared" si="5"/>
        <v>104</v>
      </c>
    </row>
    <row r="49" spans="1:13" ht="15.75" customHeight="1" x14ac:dyDescent="0.3">
      <c r="A49" s="41" t="s">
        <v>20</v>
      </c>
      <c r="B49" s="17" t="s">
        <v>58</v>
      </c>
      <c r="C49" s="44">
        <v>2243.1</v>
      </c>
      <c r="D49" s="17">
        <v>53</v>
      </c>
      <c r="E49" s="17">
        <v>60</v>
      </c>
      <c r="F49" s="17">
        <f t="shared" si="4"/>
        <v>113</v>
      </c>
      <c r="H49" s="41" t="s">
        <v>20</v>
      </c>
      <c r="I49" s="17" t="s">
        <v>58</v>
      </c>
      <c r="J49" s="44">
        <v>249.8</v>
      </c>
      <c r="K49" s="17">
        <v>45</v>
      </c>
      <c r="L49" s="17">
        <v>64</v>
      </c>
      <c r="M49" s="17">
        <f t="shared" si="5"/>
        <v>109</v>
      </c>
    </row>
    <row r="50" spans="1:13" ht="15.75" customHeight="1" x14ac:dyDescent="0.3">
      <c r="A50" s="43" t="s">
        <v>22</v>
      </c>
      <c r="B50" s="18" t="s">
        <v>58</v>
      </c>
      <c r="C50" s="44">
        <v>1632.75</v>
      </c>
      <c r="D50" s="18">
        <v>48</v>
      </c>
      <c r="E50" s="18">
        <v>59</v>
      </c>
      <c r="F50" s="18">
        <f t="shared" si="4"/>
        <v>107</v>
      </c>
      <c r="H50" s="43" t="s">
        <v>22</v>
      </c>
      <c r="I50" s="18" t="s">
        <v>58</v>
      </c>
      <c r="J50" s="42">
        <v>-1233.05</v>
      </c>
      <c r="K50" s="18">
        <v>54</v>
      </c>
      <c r="L50" s="18">
        <v>77</v>
      </c>
      <c r="M50" s="18">
        <f t="shared" si="5"/>
        <v>131</v>
      </c>
    </row>
    <row r="51" spans="1:13" ht="15.75" customHeight="1" x14ac:dyDescent="0.3">
      <c r="A51" s="41" t="s">
        <v>24</v>
      </c>
      <c r="B51" s="17" t="s">
        <v>58</v>
      </c>
      <c r="C51" s="42">
        <v>-612.20000000000005</v>
      </c>
      <c r="D51" s="17">
        <v>50</v>
      </c>
      <c r="E51" s="17">
        <v>56</v>
      </c>
      <c r="F51" s="17">
        <f t="shared" si="4"/>
        <v>106</v>
      </c>
      <c r="H51" s="41" t="s">
        <v>24</v>
      </c>
      <c r="I51" s="17" t="s">
        <v>58</v>
      </c>
      <c r="J51" s="42">
        <v>-2009.4</v>
      </c>
      <c r="K51" s="17">
        <v>44</v>
      </c>
      <c r="L51" s="17">
        <v>71</v>
      </c>
      <c r="M51" s="17">
        <f t="shared" si="5"/>
        <v>115</v>
      </c>
    </row>
    <row r="52" spans="1:13" ht="15.75" customHeight="1" x14ac:dyDescent="0.3">
      <c r="A52" s="43" t="s">
        <v>26</v>
      </c>
      <c r="B52" s="18" t="s">
        <v>58</v>
      </c>
      <c r="C52" s="42">
        <v>-1294.9000000000001</v>
      </c>
      <c r="D52" s="18">
        <v>35</v>
      </c>
      <c r="E52" s="18">
        <v>48</v>
      </c>
      <c r="F52" s="18">
        <f t="shared" si="4"/>
        <v>83</v>
      </c>
      <c r="H52" s="43" t="s">
        <v>26</v>
      </c>
      <c r="I52" s="18" t="s">
        <v>58</v>
      </c>
      <c r="J52" s="44">
        <v>1795.35</v>
      </c>
      <c r="K52" s="18">
        <v>42</v>
      </c>
      <c r="L52" s="18">
        <v>36</v>
      </c>
      <c r="M52" s="18">
        <f t="shared" si="5"/>
        <v>78</v>
      </c>
    </row>
    <row r="53" spans="1:13" ht="15.75" customHeight="1" x14ac:dyDescent="0.3">
      <c r="A53" s="41" t="s">
        <v>28</v>
      </c>
      <c r="B53" s="17" t="s">
        <v>58</v>
      </c>
      <c r="C53" s="42">
        <v>-1793.7</v>
      </c>
      <c r="D53" s="17">
        <v>49</v>
      </c>
      <c r="E53" s="17">
        <v>74</v>
      </c>
      <c r="F53" s="17">
        <f t="shared" si="4"/>
        <v>123</v>
      </c>
      <c r="H53" s="41" t="s">
        <v>28</v>
      </c>
      <c r="I53" s="17" t="s">
        <v>58</v>
      </c>
      <c r="J53" s="42">
        <v>-698.4</v>
      </c>
      <c r="K53" s="17">
        <v>48</v>
      </c>
      <c r="L53" s="17">
        <v>71</v>
      </c>
      <c r="M53" s="17">
        <f t="shared" si="5"/>
        <v>119</v>
      </c>
    </row>
    <row r="54" spans="1:13" ht="15.75" customHeight="1" x14ac:dyDescent="0.3">
      <c r="A54" s="43" t="s">
        <v>30</v>
      </c>
      <c r="B54" s="18" t="s">
        <v>58</v>
      </c>
      <c r="C54" s="44">
        <v>7135.8</v>
      </c>
      <c r="D54" s="18">
        <v>64</v>
      </c>
      <c r="E54" s="18">
        <v>58</v>
      </c>
      <c r="F54" s="18">
        <f t="shared" si="4"/>
        <v>122</v>
      </c>
      <c r="H54" s="43" t="s">
        <v>30</v>
      </c>
      <c r="I54" s="18" t="s">
        <v>58</v>
      </c>
      <c r="J54" s="42">
        <v>-4314.3500000000004</v>
      </c>
      <c r="K54" s="18">
        <v>41</v>
      </c>
      <c r="L54" s="18">
        <v>77</v>
      </c>
      <c r="M54" s="18">
        <f t="shared" si="5"/>
        <v>118</v>
      </c>
    </row>
    <row r="55" spans="1:13" ht="15.75" customHeight="1" x14ac:dyDescent="0.3">
      <c r="A55" s="41" t="s">
        <v>32</v>
      </c>
      <c r="B55" s="17" t="s">
        <v>58</v>
      </c>
      <c r="C55" s="44">
        <v>2797.35</v>
      </c>
      <c r="D55" s="17">
        <v>47</v>
      </c>
      <c r="E55" s="17">
        <v>54</v>
      </c>
      <c r="F55" s="17">
        <f t="shared" si="4"/>
        <v>101</v>
      </c>
      <c r="H55" s="41" t="s">
        <v>32</v>
      </c>
      <c r="I55" s="17" t="s">
        <v>58</v>
      </c>
      <c r="J55" s="42">
        <v>-3836.7</v>
      </c>
      <c r="K55" s="17">
        <v>37</v>
      </c>
      <c r="L55" s="17">
        <v>68</v>
      </c>
      <c r="M55" s="17">
        <f t="shared" si="5"/>
        <v>105</v>
      </c>
    </row>
    <row r="56" spans="1:13" ht="15.75" customHeight="1" x14ac:dyDescent="0.3">
      <c r="A56" s="43" t="s">
        <v>34</v>
      </c>
      <c r="B56" s="18" t="s">
        <v>58</v>
      </c>
      <c r="C56" s="42">
        <v>-1444.39</v>
      </c>
      <c r="D56" s="18">
        <v>48</v>
      </c>
      <c r="E56" s="18">
        <v>65</v>
      </c>
      <c r="F56" s="18">
        <f t="shared" si="4"/>
        <v>113</v>
      </c>
      <c r="H56" s="43" t="s">
        <v>34</v>
      </c>
      <c r="I56" s="18" t="s">
        <v>58</v>
      </c>
      <c r="J56" s="42">
        <v>-37.049999999999997</v>
      </c>
      <c r="K56" s="18">
        <v>48</v>
      </c>
      <c r="L56" s="18">
        <v>54</v>
      </c>
      <c r="M56" s="18">
        <f t="shared" si="5"/>
        <v>102</v>
      </c>
    </row>
    <row r="57" spans="1:13" ht="15.75" customHeight="1" x14ac:dyDescent="0.3">
      <c r="A57" s="41" t="s">
        <v>36</v>
      </c>
      <c r="B57" s="17" t="s">
        <v>58</v>
      </c>
      <c r="C57" s="44">
        <v>996</v>
      </c>
      <c r="D57" s="17">
        <v>48</v>
      </c>
      <c r="E57" s="17">
        <v>53</v>
      </c>
      <c r="F57" s="17">
        <f t="shared" si="4"/>
        <v>101</v>
      </c>
      <c r="H57" s="41" t="s">
        <v>36</v>
      </c>
      <c r="I57" s="17" t="s">
        <v>58</v>
      </c>
      <c r="J57" s="42">
        <v>-2743.45</v>
      </c>
      <c r="K57" s="17">
        <v>47</v>
      </c>
      <c r="L57" s="17">
        <v>64</v>
      </c>
      <c r="M57" s="17">
        <f t="shared" si="5"/>
        <v>111</v>
      </c>
    </row>
    <row r="58" spans="1:13" ht="15.75" customHeight="1" x14ac:dyDescent="0.3">
      <c r="A58" s="43" t="s">
        <v>38</v>
      </c>
      <c r="B58" s="18" t="s">
        <v>58</v>
      </c>
      <c r="C58" s="44">
        <v>794.75</v>
      </c>
      <c r="D58" s="18">
        <v>39</v>
      </c>
      <c r="E58" s="18">
        <v>50</v>
      </c>
      <c r="F58" s="18">
        <f t="shared" si="4"/>
        <v>89</v>
      </c>
      <c r="H58" s="43" t="s">
        <v>38</v>
      </c>
      <c r="I58" s="18" t="s">
        <v>58</v>
      </c>
      <c r="J58" s="42">
        <v>-2848</v>
      </c>
      <c r="K58" s="18">
        <v>35</v>
      </c>
      <c r="L58" s="18">
        <v>62</v>
      </c>
      <c r="M58" s="18">
        <f t="shared" si="5"/>
        <v>97</v>
      </c>
    </row>
    <row r="59" spans="1:13" ht="15.75" customHeight="1" x14ac:dyDescent="0.3">
      <c r="A59" s="41" t="s">
        <v>40</v>
      </c>
      <c r="B59" s="17" t="s">
        <v>58</v>
      </c>
      <c r="C59" s="44">
        <v>3072.8</v>
      </c>
      <c r="D59" s="17">
        <v>45</v>
      </c>
      <c r="E59" s="17">
        <v>50</v>
      </c>
      <c r="F59" s="17">
        <f t="shared" si="4"/>
        <v>95</v>
      </c>
      <c r="H59" s="41" t="s">
        <v>40</v>
      </c>
      <c r="I59" s="17" t="s">
        <v>58</v>
      </c>
      <c r="J59" s="42">
        <v>-2272.25</v>
      </c>
      <c r="K59" s="17">
        <v>42</v>
      </c>
      <c r="L59" s="17">
        <v>65</v>
      </c>
      <c r="M59" s="17">
        <f t="shared" si="5"/>
        <v>107</v>
      </c>
    </row>
    <row r="60" spans="1:13" ht="15.75" customHeight="1" x14ac:dyDescent="0.3">
      <c r="A60" s="43" t="s">
        <v>42</v>
      </c>
      <c r="B60" s="18" t="s">
        <v>58</v>
      </c>
      <c r="C60" s="44">
        <v>2870.75</v>
      </c>
      <c r="D60" s="18">
        <v>51</v>
      </c>
      <c r="E60" s="18">
        <v>43</v>
      </c>
      <c r="F60" s="18">
        <f t="shared" si="4"/>
        <v>94</v>
      </c>
      <c r="H60" s="43" t="s">
        <v>42</v>
      </c>
      <c r="I60" s="18" t="s">
        <v>58</v>
      </c>
      <c r="J60" s="42">
        <v>-4922.75</v>
      </c>
      <c r="K60" s="18">
        <v>38</v>
      </c>
      <c r="L60" s="18">
        <v>76</v>
      </c>
      <c r="M60" s="18">
        <f t="shared" si="5"/>
        <v>114</v>
      </c>
    </row>
    <row r="61" spans="1:13" ht="15.75" customHeight="1" x14ac:dyDescent="0.3">
      <c r="A61" s="41" t="s">
        <v>44</v>
      </c>
      <c r="B61" s="17" t="s">
        <v>58</v>
      </c>
      <c r="C61" s="44">
        <v>742.75</v>
      </c>
      <c r="D61" s="17">
        <v>40</v>
      </c>
      <c r="E61" s="17">
        <v>44</v>
      </c>
      <c r="F61" s="17">
        <f t="shared" si="4"/>
        <v>84</v>
      </c>
      <c r="H61" s="41" t="s">
        <v>44</v>
      </c>
      <c r="I61" s="17" t="s">
        <v>58</v>
      </c>
      <c r="J61" s="44">
        <v>1283.4000000000001</v>
      </c>
      <c r="K61" s="17">
        <v>44</v>
      </c>
      <c r="L61" s="17">
        <v>37</v>
      </c>
      <c r="M61" s="17">
        <f t="shared" si="5"/>
        <v>81</v>
      </c>
    </row>
    <row r="62" spans="1:13" ht="24" customHeight="1" x14ac:dyDescent="0.3">
      <c r="A62" s="45" t="s">
        <v>59</v>
      </c>
      <c r="B62" s="45"/>
      <c r="C62" s="21">
        <f>SUM(C47:C61)</f>
        <v>12663.21</v>
      </c>
      <c r="D62" s="45">
        <f>SUM(D47:D61)</f>
        <v>702</v>
      </c>
      <c r="E62" s="45">
        <f>SUM(E47:E61)</f>
        <v>860</v>
      </c>
      <c r="F62" s="45">
        <f>SUM(F47:F61)</f>
        <v>1562</v>
      </c>
      <c r="H62" s="45" t="s">
        <v>59</v>
      </c>
      <c r="I62" s="45"/>
      <c r="J62" s="23">
        <f>SUM(J47:J61)</f>
        <v>-18853.699999999997</v>
      </c>
      <c r="K62" s="45">
        <f>SUM(K47:K61)</f>
        <v>662</v>
      </c>
      <c r="L62" s="45">
        <f>SUM(L47:L61)</f>
        <v>939</v>
      </c>
      <c r="M62" s="45">
        <f>SUM(M47:M61)</f>
        <v>1601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5046.25</v>
      </c>
      <c r="D67" s="18">
        <v>57</v>
      </c>
      <c r="E67" s="18">
        <v>57</v>
      </c>
      <c r="F67" s="18">
        <f t="shared" ref="F67:F81" si="6">SUM(D67,E67)</f>
        <v>114</v>
      </c>
      <c r="H67" s="43" t="s">
        <v>16</v>
      </c>
      <c r="I67" s="18" t="s">
        <v>58</v>
      </c>
      <c r="J67" s="42">
        <v>-4907.75</v>
      </c>
      <c r="K67" s="18">
        <v>34</v>
      </c>
      <c r="L67" s="18">
        <v>75</v>
      </c>
      <c r="M67" s="18">
        <f t="shared" ref="M67:M81" si="7">SUM(K67,L67)</f>
        <v>109</v>
      </c>
    </row>
    <row r="68" spans="1:13" ht="15.75" customHeight="1" x14ac:dyDescent="0.3">
      <c r="A68" s="41" t="s">
        <v>18</v>
      </c>
      <c r="B68" s="17" t="s">
        <v>58</v>
      </c>
      <c r="C68" s="42">
        <v>-991.25</v>
      </c>
      <c r="D68" s="17">
        <v>46</v>
      </c>
      <c r="E68" s="17">
        <v>81</v>
      </c>
      <c r="F68" s="17">
        <f t="shared" si="6"/>
        <v>127</v>
      </c>
      <c r="H68" s="41" t="s">
        <v>18</v>
      </c>
      <c r="I68" s="17" t="s">
        <v>58</v>
      </c>
      <c r="J68" s="44">
        <v>1916.05</v>
      </c>
      <c r="K68" s="17">
        <v>54</v>
      </c>
      <c r="L68" s="17">
        <v>67</v>
      </c>
      <c r="M68" s="17">
        <f t="shared" si="7"/>
        <v>121</v>
      </c>
    </row>
    <row r="69" spans="1:13" ht="15.75" customHeight="1" x14ac:dyDescent="0.3">
      <c r="A69" s="43" t="s">
        <v>20</v>
      </c>
      <c r="B69" s="18" t="s">
        <v>58</v>
      </c>
      <c r="C69" s="42">
        <v>-4070.8</v>
      </c>
      <c r="D69" s="18">
        <v>37</v>
      </c>
      <c r="E69" s="18">
        <v>101</v>
      </c>
      <c r="F69" s="18">
        <f t="shared" si="6"/>
        <v>138</v>
      </c>
      <c r="H69" s="43" t="s">
        <v>20</v>
      </c>
      <c r="I69" s="18" t="s">
        <v>58</v>
      </c>
      <c r="J69" s="44">
        <v>106.3</v>
      </c>
      <c r="K69" s="18">
        <v>53</v>
      </c>
      <c r="L69" s="18">
        <v>75</v>
      </c>
      <c r="M69" s="18">
        <f t="shared" si="7"/>
        <v>128</v>
      </c>
    </row>
    <row r="70" spans="1:13" ht="15.75" customHeight="1" x14ac:dyDescent="0.3">
      <c r="A70" s="41" t="s">
        <v>22</v>
      </c>
      <c r="B70" s="17" t="s">
        <v>58</v>
      </c>
      <c r="C70" s="44">
        <v>1763.65</v>
      </c>
      <c r="D70" s="17">
        <v>63</v>
      </c>
      <c r="E70" s="17">
        <v>84</v>
      </c>
      <c r="F70" s="17">
        <f t="shared" si="6"/>
        <v>147</v>
      </c>
      <c r="H70" s="41" t="s">
        <v>22</v>
      </c>
      <c r="I70" s="17" t="s">
        <v>58</v>
      </c>
      <c r="J70" s="44">
        <v>967.75</v>
      </c>
      <c r="K70" s="17">
        <v>64</v>
      </c>
      <c r="L70" s="17">
        <v>85</v>
      </c>
      <c r="M70" s="17">
        <f t="shared" si="7"/>
        <v>149</v>
      </c>
    </row>
    <row r="71" spans="1:13" ht="15.75" customHeight="1" x14ac:dyDescent="0.3">
      <c r="A71" s="43" t="s">
        <v>24</v>
      </c>
      <c r="B71" s="18" t="s">
        <v>58</v>
      </c>
      <c r="C71" s="44">
        <v>2488.75</v>
      </c>
      <c r="D71" s="18">
        <v>59</v>
      </c>
      <c r="E71" s="18">
        <v>71</v>
      </c>
      <c r="F71" s="18">
        <f t="shared" si="6"/>
        <v>130</v>
      </c>
      <c r="H71" s="43" t="s">
        <v>24</v>
      </c>
      <c r="I71" s="18" t="s">
        <v>58</v>
      </c>
      <c r="J71" s="44">
        <v>2740.15</v>
      </c>
      <c r="K71" s="18">
        <v>57</v>
      </c>
      <c r="L71" s="18">
        <v>71</v>
      </c>
      <c r="M71" s="18">
        <f t="shared" si="7"/>
        <v>128</v>
      </c>
    </row>
    <row r="72" spans="1:13" ht="15.75" customHeight="1" x14ac:dyDescent="0.3">
      <c r="A72" s="41" t="s">
        <v>26</v>
      </c>
      <c r="B72" s="17" t="s">
        <v>58</v>
      </c>
      <c r="C72" s="42">
        <v>-885.25</v>
      </c>
      <c r="D72" s="17">
        <v>46</v>
      </c>
      <c r="E72" s="17">
        <v>69</v>
      </c>
      <c r="F72" s="17">
        <f t="shared" si="6"/>
        <v>115</v>
      </c>
      <c r="H72" s="41" t="s">
        <v>26</v>
      </c>
      <c r="I72" s="17" t="s">
        <v>58</v>
      </c>
      <c r="J72" s="44">
        <v>3564.95</v>
      </c>
      <c r="K72" s="17">
        <v>49</v>
      </c>
      <c r="L72" s="17">
        <v>44</v>
      </c>
      <c r="M72" s="17">
        <f t="shared" si="7"/>
        <v>93</v>
      </c>
    </row>
    <row r="73" spans="1:13" ht="15.75" customHeight="1" x14ac:dyDescent="0.3">
      <c r="A73" s="43" t="s">
        <v>28</v>
      </c>
      <c r="B73" s="18" t="s">
        <v>58</v>
      </c>
      <c r="C73" s="44">
        <v>425.15</v>
      </c>
      <c r="D73" s="18">
        <v>55</v>
      </c>
      <c r="E73" s="18">
        <v>86</v>
      </c>
      <c r="F73" s="18">
        <f t="shared" si="6"/>
        <v>141</v>
      </c>
      <c r="H73" s="43" t="s">
        <v>28</v>
      </c>
      <c r="I73" s="18" t="s">
        <v>58</v>
      </c>
      <c r="J73" s="44">
        <v>2383.1999999999998</v>
      </c>
      <c r="K73" s="18">
        <v>56</v>
      </c>
      <c r="L73" s="18">
        <v>75</v>
      </c>
      <c r="M73" s="18">
        <f t="shared" si="7"/>
        <v>131</v>
      </c>
    </row>
    <row r="74" spans="1:13" ht="15.75" customHeight="1" x14ac:dyDescent="0.3">
      <c r="A74" s="41" t="s">
        <v>30</v>
      </c>
      <c r="B74" s="17" t="s">
        <v>58</v>
      </c>
      <c r="C74" s="42">
        <v>-1203.45</v>
      </c>
      <c r="D74" s="17">
        <v>45</v>
      </c>
      <c r="E74" s="17">
        <v>77</v>
      </c>
      <c r="F74" s="17">
        <f t="shared" si="6"/>
        <v>122</v>
      </c>
      <c r="H74" s="41" t="s">
        <v>30</v>
      </c>
      <c r="I74" s="17" t="s">
        <v>58</v>
      </c>
      <c r="J74" s="44">
        <v>3083.4</v>
      </c>
      <c r="K74" s="17">
        <v>50</v>
      </c>
      <c r="L74" s="17">
        <v>66</v>
      </c>
      <c r="M74" s="17">
        <f t="shared" si="7"/>
        <v>116</v>
      </c>
    </row>
    <row r="75" spans="1:13" ht="15.75" customHeight="1" x14ac:dyDescent="0.3">
      <c r="A75" s="43" t="s">
        <v>32</v>
      </c>
      <c r="B75" s="18" t="s">
        <v>58</v>
      </c>
      <c r="C75" s="44">
        <v>605.5</v>
      </c>
      <c r="D75" s="18">
        <v>47</v>
      </c>
      <c r="E75" s="18">
        <v>75</v>
      </c>
      <c r="F75" s="18">
        <f t="shared" si="6"/>
        <v>122</v>
      </c>
      <c r="H75" s="43" t="s">
        <v>32</v>
      </c>
      <c r="I75" s="18" t="s">
        <v>58</v>
      </c>
      <c r="J75" s="42">
        <v>-210</v>
      </c>
      <c r="K75" s="18">
        <v>44</v>
      </c>
      <c r="L75" s="18">
        <v>69</v>
      </c>
      <c r="M75" s="18">
        <f t="shared" si="7"/>
        <v>113</v>
      </c>
    </row>
    <row r="76" spans="1:13" ht="15.75" customHeight="1" x14ac:dyDescent="0.3">
      <c r="A76" s="41" t="s">
        <v>34</v>
      </c>
      <c r="B76" s="17" t="s">
        <v>58</v>
      </c>
      <c r="C76" s="42">
        <v>-1187.5999999999999</v>
      </c>
      <c r="D76" s="17">
        <v>55</v>
      </c>
      <c r="E76" s="17">
        <v>73</v>
      </c>
      <c r="F76" s="17">
        <f t="shared" si="6"/>
        <v>128</v>
      </c>
      <c r="H76" s="41" t="s">
        <v>34</v>
      </c>
      <c r="I76" s="17" t="s">
        <v>58</v>
      </c>
      <c r="J76" s="44">
        <v>2005.25</v>
      </c>
      <c r="K76" s="17">
        <v>49</v>
      </c>
      <c r="L76" s="17">
        <v>71</v>
      </c>
      <c r="M76" s="17">
        <f t="shared" si="7"/>
        <v>120</v>
      </c>
    </row>
    <row r="77" spans="1:13" ht="15.75" customHeight="1" x14ac:dyDescent="0.3">
      <c r="A77" s="43" t="s">
        <v>36</v>
      </c>
      <c r="B77" s="18" t="s">
        <v>58</v>
      </c>
      <c r="C77" s="44">
        <v>769.9</v>
      </c>
      <c r="D77" s="18">
        <v>59</v>
      </c>
      <c r="E77" s="18">
        <v>75</v>
      </c>
      <c r="F77" s="18">
        <f t="shared" si="6"/>
        <v>134</v>
      </c>
      <c r="H77" s="43" t="s">
        <v>36</v>
      </c>
      <c r="I77" s="18" t="s">
        <v>58</v>
      </c>
      <c r="J77" s="42">
        <v>-60.35</v>
      </c>
      <c r="K77" s="18">
        <v>51</v>
      </c>
      <c r="L77" s="18">
        <v>81</v>
      </c>
      <c r="M77" s="18">
        <f t="shared" si="7"/>
        <v>132</v>
      </c>
    </row>
    <row r="78" spans="1:13" ht="15.75" customHeight="1" x14ac:dyDescent="0.3">
      <c r="A78" s="41" t="s">
        <v>38</v>
      </c>
      <c r="B78" s="17" t="s">
        <v>58</v>
      </c>
      <c r="C78" s="44">
        <v>3855.1</v>
      </c>
      <c r="D78" s="17">
        <v>57</v>
      </c>
      <c r="E78" s="17">
        <v>59</v>
      </c>
      <c r="F78" s="17">
        <f t="shared" si="6"/>
        <v>116</v>
      </c>
      <c r="H78" s="41" t="s">
        <v>38</v>
      </c>
      <c r="I78" s="17" t="s">
        <v>58</v>
      </c>
      <c r="J78" s="42">
        <v>-228</v>
      </c>
      <c r="K78" s="17">
        <v>44</v>
      </c>
      <c r="L78" s="17">
        <v>70</v>
      </c>
      <c r="M78" s="17">
        <f t="shared" si="7"/>
        <v>114</v>
      </c>
    </row>
    <row r="79" spans="1:13" ht="15.75" customHeight="1" x14ac:dyDescent="0.3">
      <c r="A79" s="43" t="s">
        <v>40</v>
      </c>
      <c r="B79" s="18" t="s">
        <v>58</v>
      </c>
      <c r="C79" s="42">
        <v>-1998.3</v>
      </c>
      <c r="D79" s="18">
        <v>39</v>
      </c>
      <c r="E79" s="18">
        <v>69</v>
      </c>
      <c r="F79" s="18">
        <f t="shared" si="6"/>
        <v>108</v>
      </c>
      <c r="H79" s="43" t="s">
        <v>40</v>
      </c>
      <c r="I79" s="18" t="s">
        <v>58</v>
      </c>
      <c r="J79" s="44">
        <v>2748.85</v>
      </c>
      <c r="K79" s="18">
        <v>51</v>
      </c>
      <c r="L79" s="18">
        <v>49</v>
      </c>
      <c r="M79" s="18">
        <f t="shared" si="7"/>
        <v>100</v>
      </c>
    </row>
    <row r="80" spans="1:13" ht="15.75" customHeight="1" x14ac:dyDescent="0.3">
      <c r="A80" s="41" t="s">
        <v>42</v>
      </c>
      <c r="B80" s="17" t="s">
        <v>58</v>
      </c>
      <c r="C80" s="42">
        <v>-295.10000000000002</v>
      </c>
      <c r="D80" s="17">
        <v>48</v>
      </c>
      <c r="E80" s="17">
        <v>68</v>
      </c>
      <c r="F80" s="17">
        <f t="shared" si="6"/>
        <v>116</v>
      </c>
      <c r="H80" s="41" t="s">
        <v>42</v>
      </c>
      <c r="I80" s="17" t="s">
        <v>58</v>
      </c>
      <c r="J80" s="44">
        <v>946.75</v>
      </c>
      <c r="K80" s="17">
        <v>47</v>
      </c>
      <c r="L80" s="17">
        <v>63</v>
      </c>
      <c r="M80" s="17">
        <f t="shared" si="7"/>
        <v>110</v>
      </c>
    </row>
    <row r="81" spans="1:13" ht="15.75" customHeight="1" x14ac:dyDescent="0.3">
      <c r="A81" s="43" t="s">
        <v>44</v>
      </c>
      <c r="B81" s="18" t="s">
        <v>58</v>
      </c>
      <c r="C81" s="42">
        <v>-1198.05</v>
      </c>
      <c r="D81" s="18">
        <v>46</v>
      </c>
      <c r="E81" s="18">
        <v>53</v>
      </c>
      <c r="F81" s="18">
        <f t="shared" si="6"/>
        <v>99</v>
      </c>
      <c r="H81" s="43" t="s">
        <v>44</v>
      </c>
      <c r="I81" s="18" t="s">
        <v>58</v>
      </c>
      <c r="J81" s="44">
        <v>1537.75</v>
      </c>
      <c r="K81" s="18">
        <v>46</v>
      </c>
      <c r="L81" s="18">
        <v>58</v>
      </c>
      <c r="M81" s="18">
        <f t="shared" si="7"/>
        <v>104</v>
      </c>
    </row>
    <row r="82" spans="1:13" ht="24" customHeight="1" x14ac:dyDescent="0.3">
      <c r="A82" s="45" t="s">
        <v>59</v>
      </c>
      <c r="B82" s="45"/>
      <c r="C82" s="23">
        <f>SUM(C67:C81)</f>
        <v>3124.5</v>
      </c>
      <c r="D82" s="45">
        <f>SUM(D67:D81)</f>
        <v>759</v>
      </c>
      <c r="E82" s="45">
        <f>SUM(E67:E81)</f>
        <v>1098</v>
      </c>
      <c r="F82" s="45">
        <f>SUM(F67:F81)</f>
        <v>1857</v>
      </c>
      <c r="H82" s="45" t="s">
        <v>59</v>
      </c>
      <c r="I82" s="45"/>
      <c r="J82" s="21">
        <f>SUM(J67:J81)</f>
        <v>16594.300000000003</v>
      </c>
      <c r="K82" s="45">
        <f>SUM(K67:K81)</f>
        <v>749</v>
      </c>
      <c r="L82" s="45">
        <f>SUM(L67:L81)</f>
        <v>1019</v>
      </c>
      <c r="M82" s="45">
        <f>SUM(M67:M81)</f>
        <v>1768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21171.699999999997</v>
      </c>
      <c r="E86" s="28">
        <f>SUM(D82,D62,D42,D22)</f>
        <v>2959</v>
      </c>
      <c r="F86" s="28">
        <f>SUM(E82,E62,E42,E22)</f>
        <v>4002</v>
      </c>
      <c r="G86" s="28">
        <f>SUM(E86:F86)</f>
        <v>6961</v>
      </c>
      <c r="H86" s="29">
        <f>E86/G86</f>
        <v>0.42508260307427093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-22106.510000000009</v>
      </c>
      <c r="E87" s="33">
        <f>SUM(K82,K62,K42,K22)</f>
        <v>2830</v>
      </c>
      <c r="F87" s="33">
        <f>SUM(L82,L62,L42,L22)</f>
        <v>3938</v>
      </c>
      <c r="G87" s="33">
        <f>SUM(E87:F87)</f>
        <v>6768</v>
      </c>
      <c r="H87" s="34">
        <f>E87/G87</f>
        <v>0.41814420803782504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-934.81000000001222</v>
      </c>
      <c r="E88" s="6">
        <f>SUM(E86:E87)</f>
        <v>5789</v>
      </c>
      <c r="F88" s="6">
        <f>SUM(F86:F87)</f>
        <v>7940</v>
      </c>
      <c r="G88" s="6">
        <f>SUM(G86:G87)</f>
        <v>13729</v>
      </c>
      <c r="H88" s="37">
        <f>AVERAGE(H86,H87)</f>
        <v>0.42161340555604798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M90"/>
  <sheetViews>
    <sheetView showGridLines="0"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" customWidth="1"/>
    <col min="4" max="4" width="8" customWidth="1"/>
    <col min="5" max="5" width="7" customWidth="1"/>
    <col min="6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4">
        <v>1889.85</v>
      </c>
      <c r="D7" s="17">
        <v>34</v>
      </c>
      <c r="E7" s="17">
        <v>46</v>
      </c>
      <c r="F7" s="17">
        <f t="shared" ref="F7:F21" si="0">SUM(D7,E7)</f>
        <v>80</v>
      </c>
      <c r="H7" s="41" t="s">
        <v>16</v>
      </c>
      <c r="I7" s="17" t="s">
        <v>58</v>
      </c>
      <c r="J7" s="42">
        <v>-1504</v>
      </c>
      <c r="K7" s="17">
        <v>34</v>
      </c>
      <c r="L7" s="17">
        <v>51</v>
      </c>
      <c r="M7" s="17">
        <f t="shared" ref="M7:M21" si="1">SUM(K7,L7)</f>
        <v>85</v>
      </c>
    </row>
    <row r="8" spans="1:13" ht="15.75" customHeight="1" x14ac:dyDescent="0.3">
      <c r="A8" s="43" t="s">
        <v>18</v>
      </c>
      <c r="B8" s="18" t="s">
        <v>58</v>
      </c>
      <c r="C8" s="42">
        <v>-119.2</v>
      </c>
      <c r="D8" s="18">
        <v>37</v>
      </c>
      <c r="E8" s="18">
        <v>60</v>
      </c>
      <c r="F8" s="18">
        <f t="shared" si="0"/>
        <v>97</v>
      </c>
      <c r="H8" s="43" t="s">
        <v>18</v>
      </c>
      <c r="I8" s="18" t="s">
        <v>58</v>
      </c>
      <c r="J8" s="42">
        <v>-4611.3500000000004</v>
      </c>
      <c r="K8" s="18">
        <v>27</v>
      </c>
      <c r="L8" s="18">
        <v>66</v>
      </c>
      <c r="M8" s="18">
        <f t="shared" si="1"/>
        <v>93</v>
      </c>
    </row>
    <row r="9" spans="1:13" ht="15.75" customHeight="1" x14ac:dyDescent="0.3">
      <c r="A9" s="41" t="s">
        <v>20</v>
      </c>
      <c r="B9" s="17" t="s">
        <v>58</v>
      </c>
      <c r="C9" s="42">
        <v>-2.8</v>
      </c>
      <c r="D9" s="17">
        <v>35</v>
      </c>
      <c r="E9" s="17">
        <v>54</v>
      </c>
      <c r="F9" s="17">
        <f t="shared" si="0"/>
        <v>89</v>
      </c>
      <c r="H9" s="41" t="s">
        <v>20</v>
      </c>
      <c r="I9" s="17" t="s">
        <v>58</v>
      </c>
      <c r="J9" s="42">
        <v>-2228.0500000000002</v>
      </c>
      <c r="K9" s="17">
        <v>32</v>
      </c>
      <c r="L9" s="17">
        <v>62</v>
      </c>
      <c r="M9" s="17">
        <f t="shared" si="1"/>
        <v>94</v>
      </c>
    </row>
    <row r="10" spans="1:13" ht="15.75" customHeight="1" x14ac:dyDescent="0.3">
      <c r="A10" s="43" t="s">
        <v>22</v>
      </c>
      <c r="B10" s="18" t="s">
        <v>58</v>
      </c>
      <c r="C10" s="42">
        <v>-645.1</v>
      </c>
      <c r="D10" s="18">
        <v>43</v>
      </c>
      <c r="E10" s="18">
        <v>65</v>
      </c>
      <c r="F10" s="18">
        <f t="shared" si="0"/>
        <v>108</v>
      </c>
      <c r="H10" s="43" t="s">
        <v>22</v>
      </c>
      <c r="I10" s="18" t="s">
        <v>58</v>
      </c>
      <c r="J10" s="42">
        <v>-421.95</v>
      </c>
      <c r="K10" s="18">
        <v>42</v>
      </c>
      <c r="L10" s="18">
        <v>56</v>
      </c>
      <c r="M10" s="18">
        <f t="shared" si="1"/>
        <v>98</v>
      </c>
    </row>
    <row r="11" spans="1:13" ht="15.75" customHeight="1" x14ac:dyDescent="0.3">
      <c r="A11" s="41" t="s">
        <v>24</v>
      </c>
      <c r="B11" s="17" t="s">
        <v>58</v>
      </c>
      <c r="C11" s="44">
        <v>1127.94</v>
      </c>
      <c r="D11" s="17">
        <v>37</v>
      </c>
      <c r="E11" s="17">
        <v>50</v>
      </c>
      <c r="F11" s="17">
        <f t="shared" si="0"/>
        <v>87</v>
      </c>
      <c r="H11" s="41" t="s">
        <v>24</v>
      </c>
      <c r="I11" s="17" t="s">
        <v>58</v>
      </c>
      <c r="J11" s="42">
        <v>-2324.8200000000002</v>
      </c>
      <c r="K11" s="17">
        <v>35</v>
      </c>
      <c r="L11" s="17">
        <v>46</v>
      </c>
      <c r="M11" s="17">
        <f t="shared" si="1"/>
        <v>81</v>
      </c>
    </row>
    <row r="12" spans="1:13" ht="15.75" customHeight="1" x14ac:dyDescent="0.3">
      <c r="A12" s="43" t="s">
        <v>26</v>
      </c>
      <c r="B12" s="18" t="s">
        <v>58</v>
      </c>
      <c r="C12" s="44">
        <v>1984.65</v>
      </c>
      <c r="D12" s="18">
        <v>37</v>
      </c>
      <c r="E12" s="18">
        <v>43</v>
      </c>
      <c r="F12" s="18">
        <f t="shared" si="0"/>
        <v>80</v>
      </c>
      <c r="H12" s="43" t="s">
        <v>26</v>
      </c>
      <c r="I12" s="18" t="s">
        <v>58</v>
      </c>
      <c r="J12" s="44">
        <v>1773.55</v>
      </c>
      <c r="K12" s="18">
        <v>37</v>
      </c>
      <c r="L12" s="18">
        <v>36</v>
      </c>
      <c r="M12" s="18">
        <f t="shared" si="1"/>
        <v>73</v>
      </c>
    </row>
    <row r="13" spans="1:13" ht="15.75" customHeight="1" x14ac:dyDescent="0.3">
      <c r="A13" s="41" t="s">
        <v>28</v>
      </c>
      <c r="B13" s="17" t="s">
        <v>58</v>
      </c>
      <c r="C13" s="42">
        <v>-90.15</v>
      </c>
      <c r="D13" s="17">
        <v>41</v>
      </c>
      <c r="E13" s="17">
        <v>54</v>
      </c>
      <c r="F13" s="17">
        <f t="shared" si="0"/>
        <v>95</v>
      </c>
      <c r="H13" s="41" t="s">
        <v>28</v>
      </c>
      <c r="I13" s="17" t="s">
        <v>58</v>
      </c>
      <c r="J13" s="42">
        <v>-1230.8499999999999</v>
      </c>
      <c r="K13" s="17">
        <v>30</v>
      </c>
      <c r="L13" s="17">
        <v>56</v>
      </c>
      <c r="M13" s="17">
        <f t="shared" si="1"/>
        <v>86</v>
      </c>
    </row>
    <row r="14" spans="1:13" ht="15.75" customHeight="1" x14ac:dyDescent="0.3">
      <c r="A14" s="43" t="s">
        <v>30</v>
      </c>
      <c r="B14" s="18" t="s">
        <v>58</v>
      </c>
      <c r="C14" s="42">
        <v>-618</v>
      </c>
      <c r="D14" s="18">
        <v>38</v>
      </c>
      <c r="E14" s="18">
        <v>46</v>
      </c>
      <c r="F14" s="18">
        <f t="shared" si="0"/>
        <v>84</v>
      </c>
      <c r="H14" s="43" t="s">
        <v>30</v>
      </c>
      <c r="I14" s="18" t="s">
        <v>58</v>
      </c>
      <c r="J14" s="42">
        <v>-1371.45</v>
      </c>
      <c r="K14" s="18">
        <v>37</v>
      </c>
      <c r="L14" s="18">
        <v>49</v>
      </c>
      <c r="M14" s="18">
        <f t="shared" si="1"/>
        <v>86</v>
      </c>
    </row>
    <row r="15" spans="1:13" ht="15.75" customHeight="1" x14ac:dyDescent="0.3">
      <c r="A15" s="41" t="s">
        <v>32</v>
      </c>
      <c r="B15" s="17" t="s">
        <v>58</v>
      </c>
      <c r="C15" s="44">
        <v>2124.0500000000002</v>
      </c>
      <c r="D15" s="17">
        <v>40</v>
      </c>
      <c r="E15" s="17">
        <v>52</v>
      </c>
      <c r="F15" s="17">
        <f t="shared" si="0"/>
        <v>92</v>
      </c>
      <c r="H15" s="41" t="s">
        <v>32</v>
      </c>
      <c r="I15" s="17" t="s">
        <v>58</v>
      </c>
      <c r="J15" s="42">
        <v>-1464.7</v>
      </c>
      <c r="K15" s="17">
        <v>29</v>
      </c>
      <c r="L15" s="17">
        <v>53</v>
      </c>
      <c r="M15" s="17">
        <f t="shared" si="1"/>
        <v>82</v>
      </c>
    </row>
    <row r="16" spans="1:13" ht="15.75" customHeight="1" x14ac:dyDescent="0.3">
      <c r="A16" s="43" t="s">
        <v>34</v>
      </c>
      <c r="B16" s="18" t="s">
        <v>58</v>
      </c>
      <c r="C16" s="44">
        <v>3538.72</v>
      </c>
      <c r="D16" s="18">
        <v>45</v>
      </c>
      <c r="E16" s="18">
        <v>48</v>
      </c>
      <c r="F16" s="18">
        <f t="shared" si="0"/>
        <v>93</v>
      </c>
      <c r="H16" s="43" t="s">
        <v>34</v>
      </c>
      <c r="I16" s="18" t="s">
        <v>58</v>
      </c>
      <c r="J16" s="42">
        <v>-921.96</v>
      </c>
      <c r="K16" s="18">
        <v>28</v>
      </c>
      <c r="L16" s="18">
        <v>52</v>
      </c>
      <c r="M16" s="18">
        <f t="shared" si="1"/>
        <v>80</v>
      </c>
    </row>
    <row r="17" spans="1:13" ht="15.75" customHeight="1" x14ac:dyDescent="0.3">
      <c r="A17" s="41" t="s">
        <v>36</v>
      </c>
      <c r="B17" s="17" t="s">
        <v>58</v>
      </c>
      <c r="C17" s="44">
        <v>3090.38</v>
      </c>
      <c r="D17" s="17">
        <v>45</v>
      </c>
      <c r="E17" s="17">
        <v>50</v>
      </c>
      <c r="F17" s="17">
        <f t="shared" si="0"/>
        <v>95</v>
      </c>
      <c r="H17" s="41" t="s">
        <v>36</v>
      </c>
      <c r="I17" s="17" t="s">
        <v>58</v>
      </c>
      <c r="J17" s="42">
        <v>-631.30999999999995</v>
      </c>
      <c r="K17" s="17">
        <v>34</v>
      </c>
      <c r="L17" s="17">
        <v>53</v>
      </c>
      <c r="M17" s="17">
        <f t="shared" si="1"/>
        <v>87</v>
      </c>
    </row>
    <row r="18" spans="1:13" ht="15.75" customHeight="1" x14ac:dyDescent="0.3">
      <c r="A18" s="43" t="s">
        <v>38</v>
      </c>
      <c r="B18" s="18" t="s">
        <v>58</v>
      </c>
      <c r="C18" s="44">
        <v>1923.15</v>
      </c>
      <c r="D18" s="18">
        <v>39</v>
      </c>
      <c r="E18" s="18">
        <v>40</v>
      </c>
      <c r="F18" s="18">
        <f t="shared" si="0"/>
        <v>79</v>
      </c>
      <c r="H18" s="43" t="s">
        <v>38</v>
      </c>
      <c r="I18" s="18" t="s">
        <v>58</v>
      </c>
      <c r="J18" s="42">
        <v>-2474.85</v>
      </c>
      <c r="K18" s="18">
        <v>27</v>
      </c>
      <c r="L18" s="18">
        <v>50</v>
      </c>
      <c r="M18" s="18">
        <f t="shared" si="1"/>
        <v>77</v>
      </c>
    </row>
    <row r="19" spans="1:13" ht="15.75" customHeight="1" x14ac:dyDescent="0.3">
      <c r="A19" s="41" t="s">
        <v>40</v>
      </c>
      <c r="B19" s="17" t="s">
        <v>58</v>
      </c>
      <c r="C19" s="44">
        <v>1898.55</v>
      </c>
      <c r="D19" s="17">
        <v>42</v>
      </c>
      <c r="E19" s="17">
        <v>46</v>
      </c>
      <c r="F19" s="17">
        <f t="shared" si="0"/>
        <v>88</v>
      </c>
      <c r="H19" s="41" t="s">
        <v>40</v>
      </c>
      <c r="I19" s="17" t="s">
        <v>58</v>
      </c>
      <c r="J19" s="42">
        <v>-199.6</v>
      </c>
      <c r="K19" s="17">
        <v>33</v>
      </c>
      <c r="L19" s="17">
        <v>43</v>
      </c>
      <c r="M19" s="17">
        <f t="shared" si="1"/>
        <v>76</v>
      </c>
    </row>
    <row r="20" spans="1:13" ht="15.75" customHeight="1" x14ac:dyDescent="0.3">
      <c r="A20" s="43" t="s">
        <v>42</v>
      </c>
      <c r="B20" s="18" t="s">
        <v>58</v>
      </c>
      <c r="C20" s="42">
        <v>-343.15</v>
      </c>
      <c r="D20" s="18">
        <v>38</v>
      </c>
      <c r="E20" s="18">
        <v>57</v>
      </c>
      <c r="F20" s="18">
        <f t="shared" si="0"/>
        <v>95</v>
      </c>
      <c r="H20" s="43" t="s">
        <v>42</v>
      </c>
      <c r="I20" s="18" t="s">
        <v>58</v>
      </c>
      <c r="J20" s="44">
        <v>2354</v>
      </c>
      <c r="K20" s="18">
        <v>39</v>
      </c>
      <c r="L20" s="18">
        <v>38</v>
      </c>
      <c r="M20" s="18">
        <f t="shared" si="1"/>
        <v>77</v>
      </c>
    </row>
    <row r="21" spans="1:13" ht="15.75" customHeight="1" x14ac:dyDescent="0.3">
      <c r="A21" s="41" t="s">
        <v>44</v>
      </c>
      <c r="B21" s="17" t="s">
        <v>58</v>
      </c>
      <c r="C21" s="44">
        <v>1311.9</v>
      </c>
      <c r="D21" s="17">
        <v>38</v>
      </c>
      <c r="E21" s="17">
        <v>36</v>
      </c>
      <c r="F21" s="17">
        <f t="shared" si="0"/>
        <v>74</v>
      </c>
      <c r="H21" s="41" t="s">
        <v>44</v>
      </c>
      <c r="I21" s="17" t="s">
        <v>58</v>
      </c>
      <c r="J21" s="42">
        <v>-375.05</v>
      </c>
      <c r="K21" s="17">
        <v>36</v>
      </c>
      <c r="L21" s="17">
        <v>42</v>
      </c>
      <c r="M21" s="17">
        <f t="shared" si="1"/>
        <v>78</v>
      </c>
    </row>
    <row r="22" spans="1:13" ht="24" customHeight="1" x14ac:dyDescent="0.3">
      <c r="A22" s="45" t="s">
        <v>59</v>
      </c>
      <c r="B22" s="45"/>
      <c r="C22" s="21">
        <f>SUM(C7:C21)</f>
        <v>17070.79</v>
      </c>
      <c r="D22" s="45">
        <f>SUM(D7:D21)</f>
        <v>589</v>
      </c>
      <c r="E22" s="45">
        <f>SUM(E7:E21)</f>
        <v>747</v>
      </c>
      <c r="F22" s="45">
        <f>SUM(F7:F21)</f>
        <v>1336</v>
      </c>
      <c r="H22" s="45" t="s">
        <v>59</v>
      </c>
      <c r="I22" s="45"/>
      <c r="J22" s="23">
        <f>SUM(J7:J21)</f>
        <v>-15632.390000000003</v>
      </c>
      <c r="K22" s="45">
        <f>SUM(K7:K21)</f>
        <v>500</v>
      </c>
      <c r="L22" s="45">
        <f>SUM(L7:L21)</f>
        <v>753</v>
      </c>
      <c r="M22" s="45">
        <f>SUM(M7:M21)</f>
        <v>1253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-1583.9</v>
      </c>
      <c r="D27" s="18">
        <v>32</v>
      </c>
      <c r="E27" s="18">
        <v>53</v>
      </c>
      <c r="F27" s="18">
        <f t="shared" ref="F27:F41" si="2">SUM(D27,E27)</f>
        <v>85</v>
      </c>
      <c r="H27" s="43" t="s">
        <v>16</v>
      </c>
      <c r="I27" s="18" t="s">
        <v>58</v>
      </c>
      <c r="J27" s="44">
        <v>3081.95</v>
      </c>
      <c r="K27" s="18">
        <v>40</v>
      </c>
      <c r="L27" s="18">
        <v>38</v>
      </c>
      <c r="M27" s="18">
        <f t="shared" ref="M27:M41" si="3">SUM(K27,L27)</f>
        <v>78</v>
      </c>
    </row>
    <row r="28" spans="1:13" ht="15.75" customHeight="1" x14ac:dyDescent="0.3">
      <c r="A28" s="41" t="s">
        <v>18</v>
      </c>
      <c r="B28" s="17" t="s">
        <v>58</v>
      </c>
      <c r="C28" s="44">
        <v>769.35</v>
      </c>
      <c r="D28" s="17">
        <v>41</v>
      </c>
      <c r="E28" s="17">
        <v>45</v>
      </c>
      <c r="F28" s="17">
        <f t="shared" si="2"/>
        <v>86</v>
      </c>
      <c r="H28" s="41" t="s">
        <v>18</v>
      </c>
      <c r="I28" s="17" t="s">
        <v>58</v>
      </c>
      <c r="J28" s="44">
        <v>1613.65</v>
      </c>
      <c r="K28" s="17">
        <v>39</v>
      </c>
      <c r="L28" s="17">
        <v>49</v>
      </c>
      <c r="M28" s="17">
        <f t="shared" si="3"/>
        <v>88</v>
      </c>
    </row>
    <row r="29" spans="1:13" ht="15.75" customHeight="1" x14ac:dyDescent="0.3">
      <c r="A29" s="43" t="s">
        <v>20</v>
      </c>
      <c r="B29" s="18" t="s">
        <v>58</v>
      </c>
      <c r="C29" s="42">
        <v>-2192.1999999999998</v>
      </c>
      <c r="D29" s="18">
        <v>31</v>
      </c>
      <c r="E29" s="18">
        <v>60</v>
      </c>
      <c r="F29" s="18">
        <f t="shared" si="2"/>
        <v>91</v>
      </c>
      <c r="H29" s="43" t="s">
        <v>20</v>
      </c>
      <c r="I29" s="18" t="s">
        <v>58</v>
      </c>
      <c r="J29" s="44">
        <v>13.3</v>
      </c>
      <c r="K29" s="18">
        <v>40</v>
      </c>
      <c r="L29" s="18">
        <v>52</v>
      </c>
      <c r="M29" s="18">
        <f t="shared" si="3"/>
        <v>92</v>
      </c>
    </row>
    <row r="30" spans="1:13" ht="15.75" customHeight="1" x14ac:dyDescent="0.3">
      <c r="A30" s="41" t="s">
        <v>22</v>
      </c>
      <c r="B30" s="17" t="s">
        <v>58</v>
      </c>
      <c r="C30" s="44">
        <v>1627.55</v>
      </c>
      <c r="D30" s="17">
        <v>34</v>
      </c>
      <c r="E30" s="17">
        <v>43</v>
      </c>
      <c r="F30" s="17">
        <f t="shared" si="2"/>
        <v>77</v>
      </c>
      <c r="H30" s="41" t="s">
        <v>22</v>
      </c>
      <c r="I30" s="17" t="s">
        <v>58</v>
      </c>
      <c r="J30" s="44">
        <v>3230.2</v>
      </c>
      <c r="K30" s="17">
        <v>40</v>
      </c>
      <c r="L30" s="17">
        <v>43</v>
      </c>
      <c r="M30" s="17">
        <f t="shared" si="3"/>
        <v>83</v>
      </c>
    </row>
    <row r="31" spans="1:13" ht="15.75" customHeight="1" x14ac:dyDescent="0.3">
      <c r="A31" s="43" t="s">
        <v>24</v>
      </c>
      <c r="B31" s="18" t="s">
        <v>58</v>
      </c>
      <c r="C31" s="42">
        <v>-1565.35</v>
      </c>
      <c r="D31" s="18">
        <v>33</v>
      </c>
      <c r="E31" s="18">
        <v>56</v>
      </c>
      <c r="F31" s="18">
        <f t="shared" si="2"/>
        <v>89</v>
      </c>
      <c r="H31" s="43" t="s">
        <v>24</v>
      </c>
      <c r="I31" s="18" t="s">
        <v>58</v>
      </c>
      <c r="J31" s="44">
        <v>3471.8</v>
      </c>
      <c r="K31" s="18">
        <v>39</v>
      </c>
      <c r="L31" s="18">
        <v>37</v>
      </c>
      <c r="M31" s="18">
        <f t="shared" si="3"/>
        <v>76</v>
      </c>
    </row>
    <row r="32" spans="1:13" ht="15.75" customHeight="1" x14ac:dyDescent="0.3">
      <c r="A32" s="41" t="s">
        <v>26</v>
      </c>
      <c r="B32" s="17" t="s">
        <v>58</v>
      </c>
      <c r="C32" s="42">
        <v>-1193.8499999999999</v>
      </c>
      <c r="D32" s="17">
        <v>35</v>
      </c>
      <c r="E32" s="17">
        <v>40</v>
      </c>
      <c r="F32" s="17">
        <f t="shared" si="2"/>
        <v>75</v>
      </c>
      <c r="H32" s="41" t="s">
        <v>26</v>
      </c>
      <c r="I32" s="17" t="s">
        <v>58</v>
      </c>
      <c r="J32" s="44">
        <v>2000.55</v>
      </c>
      <c r="K32" s="17">
        <v>48</v>
      </c>
      <c r="L32" s="17">
        <v>30</v>
      </c>
      <c r="M32" s="17">
        <f t="shared" si="3"/>
        <v>78</v>
      </c>
    </row>
    <row r="33" spans="1:13" ht="15.75" customHeight="1" x14ac:dyDescent="0.3">
      <c r="A33" s="43" t="s">
        <v>28</v>
      </c>
      <c r="B33" s="18" t="s">
        <v>58</v>
      </c>
      <c r="C33" s="44">
        <v>1236.95</v>
      </c>
      <c r="D33" s="18">
        <v>42</v>
      </c>
      <c r="E33" s="18">
        <v>49</v>
      </c>
      <c r="F33" s="18">
        <f t="shared" si="2"/>
        <v>91</v>
      </c>
      <c r="H33" s="43" t="s">
        <v>28</v>
      </c>
      <c r="I33" s="18" t="s">
        <v>58</v>
      </c>
      <c r="J33" s="44">
        <v>184.9</v>
      </c>
      <c r="K33" s="18">
        <v>39</v>
      </c>
      <c r="L33" s="18">
        <v>48</v>
      </c>
      <c r="M33" s="18">
        <f t="shared" si="3"/>
        <v>87</v>
      </c>
    </row>
    <row r="34" spans="1:13" ht="15.75" customHeight="1" x14ac:dyDescent="0.3">
      <c r="A34" s="41" t="s">
        <v>30</v>
      </c>
      <c r="B34" s="17" t="s">
        <v>58</v>
      </c>
      <c r="C34" s="44">
        <v>2716.6</v>
      </c>
      <c r="D34" s="17">
        <v>41</v>
      </c>
      <c r="E34" s="17">
        <v>35</v>
      </c>
      <c r="F34" s="17">
        <f t="shared" si="2"/>
        <v>76</v>
      </c>
      <c r="H34" s="41" t="s">
        <v>30</v>
      </c>
      <c r="I34" s="17" t="s">
        <v>58</v>
      </c>
      <c r="J34" s="44">
        <v>15.35</v>
      </c>
      <c r="K34" s="17">
        <v>35</v>
      </c>
      <c r="L34" s="17">
        <v>41</v>
      </c>
      <c r="M34" s="17">
        <f t="shared" si="3"/>
        <v>76</v>
      </c>
    </row>
    <row r="35" spans="1:13" ht="15.75" customHeight="1" x14ac:dyDescent="0.3">
      <c r="A35" s="43" t="s">
        <v>32</v>
      </c>
      <c r="B35" s="18" t="s">
        <v>58</v>
      </c>
      <c r="C35" s="44">
        <v>2141.1999999999998</v>
      </c>
      <c r="D35" s="18">
        <v>35</v>
      </c>
      <c r="E35" s="18">
        <v>34</v>
      </c>
      <c r="F35" s="18">
        <f t="shared" si="2"/>
        <v>69</v>
      </c>
      <c r="H35" s="43" t="s">
        <v>32</v>
      </c>
      <c r="I35" s="18" t="s">
        <v>58</v>
      </c>
      <c r="J35" s="44">
        <v>3626.85</v>
      </c>
      <c r="K35" s="18">
        <v>42</v>
      </c>
      <c r="L35" s="18">
        <v>38</v>
      </c>
      <c r="M35" s="18">
        <f t="shared" si="3"/>
        <v>80</v>
      </c>
    </row>
    <row r="36" spans="1:13" ht="15.75" customHeight="1" x14ac:dyDescent="0.3">
      <c r="A36" s="41" t="s">
        <v>34</v>
      </c>
      <c r="B36" s="17" t="s">
        <v>58</v>
      </c>
      <c r="C36" s="44">
        <v>1292.68</v>
      </c>
      <c r="D36" s="17">
        <v>39</v>
      </c>
      <c r="E36" s="17">
        <v>54</v>
      </c>
      <c r="F36" s="17">
        <f t="shared" si="2"/>
        <v>93</v>
      </c>
      <c r="H36" s="41" t="s">
        <v>34</v>
      </c>
      <c r="I36" s="17" t="s">
        <v>58</v>
      </c>
      <c r="J36" s="42">
        <v>-95.73</v>
      </c>
      <c r="K36" s="17">
        <v>38</v>
      </c>
      <c r="L36" s="17">
        <v>41</v>
      </c>
      <c r="M36" s="17">
        <f t="shared" si="3"/>
        <v>79</v>
      </c>
    </row>
    <row r="37" spans="1:13" ht="15.75" customHeight="1" x14ac:dyDescent="0.3">
      <c r="A37" s="43" t="s">
        <v>36</v>
      </c>
      <c r="B37" s="18" t="s">
        <v>58</v>
      </c>
      <c r="C37" s="42">
        <v>-1508.6</v>
      </c>
      <c r="D37" s="18">
        <v>37</v>
      </c>
      <c r="E37" s="18">
        <v>50</v>
      </c>
      <c r="F37" s="18">
        <f t="shared" si="2"/>
        <v>87</v>
      </c>
      <c r="H37" s="43" t="s">
        <v>36</v>
      </c>
      <c r="I37" s="18" t="s">
        <v>58</v>
      </c>
      <c r="J37" s="44">
        <v>2539.9499999999998</v>
      </c>
      <c r="K37" s="18">
        <v>44</v>
      </c>
      <c r="L37" s="18">
        <v>37</v>
      </c>
      <c r="M37" s="18">
        <f t="shared" si="3"/>
        <v>81</v>
      </c>
    </row>
    <row r="38" spans="1:13" ht="15.75" customHeight="1" x14ac:dyDescent="0.3">
      <c r="A38" s="41" t="s">
        <v>38</v>
      </c>
      <c r="B38" s="17" t="s">
        <v>58</v>
      </c>
      <c r="C38" s="44">
        <v>634.35</v>
      </c>
      <c r="D38" s="17">
        <v>38</v>
      </c>
      <c r="E38" s="17">
        <v>41</v>
      </c>
      <c r="F38" s="17">
        <f t="shared" si="2"/>
        <v>79</v>
      </c>
      <c r="H38" s="41" t="s">
        <v>38</v>
      </c>
      <c r="I38" s="17" t="s">
        <v>58</v>
      </c>
      <c r="J38" s="44">
        <v>552.5</v>
      </c>
      <c r="K38" s="17">
        <v>35</v>
      </c>
      <c r="L38" s="17">
        <v>37</v>
      </c>
      <c r="M38" s="17">
        <f t="shared" si="3"/>
        <v>72</v>
      </c>
    </row>
    <row r="39" spans="1:13" ht="15.75" customHeight="1" x14ac:dyDescent="0.3">
      <c r="A39" s="43" t="s">
        <v>40</v>
      </c>
      <c r="B39" s="18" t="s">
        <v>58</v>
      </c>
      <c r="C39" s="42">
        <v>-412</v>
      </c>
      <c r="D39" s="18">
        <v>35</v>
      </c>
      <c r="E39" s="18">
        <v>49</v>
      </c>
      <c r="F39" s="18">
        <f t="shared" si="2"/>
        <v>84</v>
      </c>
      <c r="H39" s="43" t="s">
        <v>40</v>
      </c>
      <c r="I39" s="18" t="s">
        <v>58</v>
      </c>
      <c r="J39" s="44">
        <v>657.4</v>
      </c>
      <c r="K39" s="18">
        <v>37</v>
      </c>
      <c r="L39" s="18">
        <v>42</v>
      </c>
      <c r="M39" s="18">
        <f t="shared" si="3"/>
        <v>79</v>
      </c>
    </row>
    <row r="40" spans="1:13" ht="15.75" customHeight="1" x14ac:dyDescent="0.3">
      <c r="A40" s="41" t="s">
        <v>42</v>
      </c>
      <c r="B40" s="17" t="s">
        <v>58</v>
      </c>
      <c r="C40" s="42">
        <v>-1142.3499999999999</v>
      </c>
      <c r="D40" s="17">
        <v>35</v>
      </c>
      <c r="E40" s="17">
        <v>46</v>
      </c>
      <c r="F40" s="17">
        <f t="shared" si="2"/>
        <v>81</v>
      </c>
      <c r="H40" s="41" t="s">
        <v>42</v>
      </c>
      <c r="I40" s="17" t="s">
        <v>58</v>
      </c>
      <c r="J40" s="44">
        <v>1934.95</v>
      </c>
      <c r="K40" s="17">
        <v>38</v>
      </c>
      <c r="L40" s="17">
        <v>37</v>
      </c>
      <c r="M40" s="17">
        <f t="shared" si="3"/>
        <v>75</v>
      </c>
    </row>
    <row r="41" spans="1:13" ht="15.75" customHeight="1" x14ac:dyDescent="0.3">
      <c r="A41" s="43" t="s">
        <v>44</v>
      </c>
      <c r="B41" s="18" t="s">
        <v>58</v>
      </c>
      <c r="C41" s="42">
        <v>-1082.3</v>
      </c>
      <c r="D41" s="18">
        <v>36</v>
      </c>
      <c r="E41" s="18">
        <v>36</v>
      </c>
      <c r="F41" s="18">
        <f t="shared" si="2"/>
        <v>72</v>
      </c>
      <c r="H41" s="43" t="s">
        <v>44</v>
      </c>
      <c r="I41" s="18" t="s">
        <v>58</v>
      </c>
      <c r="J41" s="42">
        <v>-523.79999999999995</v>
      </c>
      <c r="K41" s="18">
        <v>34</v>
      </c>
      <c r="L41" s="18">
        <v>39</v>
      </c>
      <c r="M41" s="18">
        <f t="shared" si="3"/>
        <v>73</v>
      </c>
    </row>
    <row r="42" spans="1:13" ht="24" customHeight="1" x14ac:dyDescent="0.3">
      <c r="A42" s="45" t="s">
        <v>59</v>
      </c>
      <c r="B42" s="45"/>
      <c r="C42" s="21">
        <f>SUM(C27:C41)</f>
        <v>-261.87000000000012</v>
      </c>
      <c r="D42" s="45">
        <f>SUM(D27:D41)</f>
        <v>544</v>
      </c>
      <c r="E42" s="45">
        <f>SUM(E27:E41)</f>
        <v>691</v>
      </c>
      <c r="F42" s="45">
        <f>SUM(F27:F41)</f>
        <v>1235</v>
      </c>
      <c r="H42" s="45" t="s">
        <v>59</v>
      </c>
      <c r="I42" s="45"/>
      <c r="J42" s="21">
        <f>SUM(J27:J41)</f>
        <v>22303.820000000003</v>
      </c>
      <c r="K42" s="45">
        <f>SUM(K27:K41)</f>
        <v>588</v>
      </c>
      <c r="L42" s="45">
        <f>SUM(L27:L41)</f>
        <v>609</v>
      </c>
      <c r="M42" s="45">
        <f>SUM(M27:M41)</f>
        <v>1197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4">
        <v>1249.5999999999999</v>
      </c>
      <c r="D47" s="17">
        <v>32</v>
      </c>
      <c r="E47" s="17">
        <v>46</v>
      </c>
      <c r="F47" s="17">
        <f t="shared" ref="F47:F61" si="4">SUM(D47,E47)</f>
        <v>78</v>
      </c>
      <c r="H47" s="41" t="s">
        <v>16</v>
      </c>
      <c r="I47" s="17" t="s">
        <v>58</v>
      </c>
      <c r="J47" s="42">
        <v>-575.75</v>
      </c>
      <c r="K47" s="17">
        <v>32</v>
      </c>
      <c r="L47" s="17">
        <v>49</v>
      </c>
      <c r="M47" s="17">
        <f t="shared" ref="M47:M61" si="5">SUM(K47,L47)</f>
        <v>81</v>
      </c>
    </row>
    <row r="48" spans="1:13" ht="15.75" customHeight="1" x14ac:dyDescent="0.3">
      <c r="A48" s="43" t="s">
        <v>18</v>
      </c>
      <c r="B48" s="18" t="s">
        <v>58</v>
      </c>
      <c r="C48" s="42">
        <v>-1832</v>
      </c>
      <c r="D48" s="18">
        <v>27</v>
      </c>
      <c r="E48" s="18">
        <v>55</v>
      </c>
      <c r="F48" s="18">
        <f t="shared" si="4"/>
        <v>82</v>
      </c>
      <c r="H48" s="43" t="s">
        <v>18</v>
      </c>
      <c r="I48" s="18" t="s">
        <v>58</v>
      </c>
      <c r="J48" s="44">
        <v>2371.5500000000002</v>
      </c>
      <c r="K48" s="18">
        <v>36</v>
      </c>
      <c r="L48" s="18">
        <v>40</v>
      </c>
      <c r="M48" s="18">
        <f t="shared" si="5"/>
        <v>76</v>
      </c>
    </row>
    <row r="49" spans="1:13" ht="15.75" customHeight="1" x14ac:dyDescent="0.3">
      <c r="A49" s="41" t="s">
        <v>20</v>
      </c>
      <c r="B49" s="17" t="s">
        <v>58</v>
      </c>
      <c r="C49" s="44">
        <v>1062.8</v>
      </c>
      <c r="D49" s="17">
        <v>37</v>
      </c>
      <c r="E49" s="17">
        <v>50</v>
      </c>
      <c r="F49" s="17">
        <f t="shared" si="4"/>
        <v>87</v>
      </c>
      <c r="H49" s="41" t="s">
        <v>20</v>
      </c>
      <c r="I49" s="17" t="s">
        <v>58</v>
      </c>
      <c r="J49" s="44">
        <v>1008.7</v>
      </c>
      <c r="K49" s="17">
        <v>38</v>
      </c>
      <c r="L49" s="17">
        <v>42</v>
      </c>
      <c r="M49" s="17">
        <f t="shared" si="5"/>
        <v>80</v>
      </c>
    </row>
    <row r="50" spans="1:13" ht="15.75" customHeight="1" x14ac:dyDescent="0.3">
      <c r="A50" s="43" t="s">
        <v>22</v>
      </c>
      <c r="B50" s="18" t="s">
        <v>58</v>
      </c>
      <c r="C50" s="44">
        <v>389.05</v>
      </c>
      <c r="D50" s="18">
        <v>36</v>
      </c>
      <c r="E50" s="18">
        <v>53</v>
      </c>
      <c r="F50" s="18">
        <f t="shared" si="4"/>
        <v>89</v>
      </c>
      <c r="H50" s="43" t="s">
        <v>22</v>
      </c>
      <c r="I50" s="18" t="s">
        <v>58</v>
      </c>
      <c r="J50" s="44">
        <v>949.05</v>
      </c>
      <c r="K50" s="18">
        <v>36</v>
      </c>
      <c r="L50" s="18">
        <v>42</v>
      </c>
      <c r="M50" s="18">
        <f t="shared" si="5"/>
        <v>78</v>
      </c>
    </row>
    <row r="51" spans="1:13" ht="15.75" customHeight="1" x14ac:dyDescent="0.3">
      <c r="A51" s="41" t="s">
        <v>24</v>
      </c>
      <c r="B51" s="17" t="s">
        <v>58</v>
      </c>
      <c r="C51" s="42">
        <v>-1490.85</v>
      </c>
      <c r="D51" s="17">
        <v>34</v>
      </c>
      <c r="E51" s="17">
        <v>53</v>
      </c>
      <c r="F51" s="17">
        <f t="shared" si="4"/>
        <v>87</v>
      </c>
      <c r="H51" s="41" t="s">
        <v>24</v>
      </c>
      <c r="I51" s="17" t="s">
        <v>58</v>
      </c>
      <c r="J51" s="42">
        <v>-828.55</v>
      </c>
      <c r="K51" s="17">
        <v>34</v>
      </c>
      <c r="L51" s="17">
        <v>44</v>
      </c>
      <c r="M51" s="17">
        <f t="shared" si="5"/>
        <v>78</v>
      </c>
    </row>
    <row r="52" spans="1:13" ht="15.75" customHeight="1" x14ac:dyDescent="0.3">
      <c r="A52" s="43" t="s">
        <v>26</v>
      </c>
      <c r="B52" s="18" t="s">
        <v>58</v>
      </c>
      <c r="C52" s="42">
        <v>-1477.85</v>
      </c>
      <c r="D52" s="18">
        <v>28</v>
      </c>
      <c r="E52" s="18">
        <v>41</v>
      </c>
      <c r="F52" s="18">
        <f t="shared" si="4"/>
        <v>69</v>
      </c>
      <c r="H52" s="43" t="s">
        <v>26</v>
      </c>
      <c r="I52" s="18" t="s">
        <v>58</v>
      </c>
      <c r="J52" s="44">
        <v>233.1</v>
      </c>
      <c r="K52" s="18">
        <v>30</v>
      </c>
      <c r="L52" s="18">
        <v>38</v>
      </c>
      <c r="M52" s="18">
        <f t="shared" si="5"/>
        <v>68</v>
      </c>
    </row>
    <row r="53" spans="1:13" ht="15.75" customHeight="1" x14ac:dyDescent="0.3">
      <c r="A53" s="41" t="s">
        <v>28</v>
      </c>
      <c r="B53" s="17" t="s">
        <v>58</v>
      </c>
      <c r="C53" s="44">
        <v>1101.8</v>
      </c>
      <c r="D53" s="17">
        <v>34</v>
      </c>
      <c r="E53" s="17">
        <v>41</v>
      </c>
      <c r="F53" s="17">
        <f t="shared" si="4"/>
        <v>75</v>
      </c>
      <c r="H53" s="41" t="s">
        <v>28</v>
      </c>
      <c r="I53" s="17" t="s">
        <v>58</v>
      </c>
      <c r="J53" s="44">
        <v>906.45</v>
      </c>
      <c r="K53" s="17">
        <v>36</v>
      </c>
      <c r="L53" s="17">
        <v>47</v>
      </c>
      <c r="M53" s="17">
        <f t="shared" si="5"/>
        <v>83</v>
      </c>
    </row>
    <row r="54" spans="1:13" ht="15.75" customHeight="1" x14ac:dyDescent="0.3">
      <c r="A54" s="43" t="s">
        <v>30</v>
      </c>
      <c r="B54" s="18" t="s">
        <v>58</v>
      </c>
      <c r="C54" s="44">
        <v>6781.25</v>
      </c>
      <c r="D54" s="18">
        <v>46</v>
      </c>
      <c r="E54" s="18">
        <v>40</v>
      </c>
      <c r="F54" s="18">
        <f t="shared" si="4"/>
        <v>86</v>
      </c>
      <c r="H54" s="43" t="s">
        <v>30</v>
      </c>
      <c r="I54" s="18" t="s">
        <v>58</v>
      </c>
      <c r="J54" s="44">
        <v>64.099999999999994</v>
      </c>
      <c r="K54" s="18">
        <v>28</v>
      </c>
      <c r="L54" s="18">
        <v>44</v>
      </c>
      <c r="M54" s="18">
        <f t="shared" si="5"/>
        <v>72</v>
      </c>
    </row>
    <row r="55" spans="1:13" ht="15.75" customHeight="1" x14ac:dyDescent="0.3">
      <c r="A55" s="41" t="s">
        <v>32</v>
      </c>
      <c r="B55" s="17" t="s">
        <v>58</v>
      </c>
      <c r="C55" s="44">
        <v>4194.6499999999996</v>
      </c>
      <c r="D55" s="17">
        <v>40</v>
      </c>
      <c r="E55" s="17">
        <v>38</v>
      </c>
      <c r="F55" s="17">
        <f t="shared" si="4"/>
        <v>78</v>
      </c>
      <c r="H55" s="41" t="s">
        <v>32</v>
      </c>
      <c r="I55" s="17" t="s">
        <v>58</v>
      </c>
      <c r="J55" s="42">
        <v>-1972.4</v>
      </c>
      <c r="K55" s="17">
        <v>21</v>
      </c>
      <c r="L55" s="17">
        <v>44</v>
      </c>
      <c r="M55" s="17">
        <f t="shared" si="5"/>
        <v>65</v>
      </c>
    </row>
    <row r="56" spans="1:13" ht="15.75" customHeight="1" x14ac:dyDescent="0.3">
      <c r="A56" s="43" t="s">
        <v>34</v>
      </c>
      <c r="B56" s="18" t="s">
        <v>58</v>
      </c>
      <c r="C56" s="42">
        <v>-1564.83</v>
      </c>
      <c r="D56" s="18">
        <v>33</v>
      </c>
      <c r="E56" s="18">
        <v>59</v>
      </c>
      <c r="F56" s="18">
        <f t="shared" si="4"/>
        <v>92</v>
      </c>
      <c r="H56" s="43" t="s">
        <v>34</v>
      </c>
      <c r="I56" s="18" t="s">
        <v>58</v>
      </c>
      <c r="J56" s="44">
        <v>1112.53</v>
      </c>
      <c r="K56" s="18">
        <v>35</v>
      </c>
      <c r="L56" s="18">
        <v>35</v>
      </c>
      <c r="M56" s="18">
        <f t="shared" si="5"/>
        <v>70</v>
      </c>
    </row>
    <row r="57" spans="1:13" ht="15.75" customHeight="1" x14ac:dyDescent="0.3">
      <c r="A57" s="41" t="s">
        <v>36</v>
      </c>
      <c r="B57" s="17" t="s">
        <v>58</v>
      </c>
      <c r="C57" s="44">
        <v>282.7</v>
      </c>
      <c r="D57" s="17">
        <v>37</v>
      </c>
      <c r="E57" s="17">
        <v>57</v>
      </c>
      <c r="F57" s="17">
        <f t="shared" si="4"/>
        <v>94</v>
      </c>
      <c r="H57" s="41" t="s">
        <v>36</v>
      </c>
      <c r="I57" s="17" t="s">
        <v>58</v>
      </c>
      <c r="J57" s="42">
        <v>-1862.7</v>
      </c>
      <c r="K57" s="17">
        <v>33</v>
      </c>
      <c r="L57" s="17">
        <v>48</v>
      </c>
      <c r="M57" s="17">
        <f t="shared" si="5"/>
        <v>81</v>
      </c>
    </row>
    <row r="58" spans="1:13" ht="15.75" customHeight="1" x14ac:dyDescent="0.3">
      <c r="A58" s="43" t="s">
        <v>38</v>
      </c>
      <c r="B58" s="18" t="s">
        <v>58</v>
      </c>
      <c r="C58" s="44">
        <v>1282.5999999999999</v>
      </c>
      <c r="D58" s="18">
        <v>35</v>
      </c>
      <c r="E58" s="18">
        <v>41</v>
      </c>
      <c r="F58" s="18">
        <f t="shared" si="4"/>
        <v>76</v>
      </c>
      <c r="H58" s="43" t="s">
        <v>38</v>
      </c>
      <c r="I58" s="18" t="s">
        <v>58</v>
      </c>
      <c r="J58" s="42">
        <v>-195.15</v>
      </c>
      <c r="K58" s="18">
        <v>29</v>
      </c>
      <c r="L58" s="18">
        <v>37</v>
      </c>
      <c r="M58" s="18">
        <f t="shared" si="5"/>
        <v>66</v>
      </c>
    </row>
    <row r="59" spans="1:13" ht="15.75" customHeight="1" x14ac:dyDescent="0.3">
      <c r="A59" s="41" t="s">
        <v>40</v>
      </c>
      <c r="B59" s="17" t="s">
        <v>58</v>
      </c>
      <c r="C59" s="44">
        <v>1907.55</v>
      </c>
      <c r="D59" s="17">
        <v>39</v>
      </c>
      <c r="E59" s="17">
        <v>37</v>
      </c>
      <c r="F59" s="17">
        <f t="shared" si="4"/>
        <v>76</v>
      </c>
      <c r="H59" s="41" t="s">
        <v>40</v>
      </c>
      <c r="I59" s="17" t="s">
        <v>58</v>
      </c>
      <c r="J59" s="42">
        <v>-453.7</v>
      </c>
      <c r="K59" s="17">
        <v>35</v>
      </c>
      <c r="L59" s="17">
        <v>41</v>
      </c>
      <c r="M59" s="17">
        <f t="shared" si="5"/>
        <v>76</v>
      </c>
    </row>
    <row r="60" spans="1:13" ht="15.75" customHeight="1" x14ac:dyDescent="0.3">
      <c r="A60" s="43" t="s">
        <v>42</v>
      </c>
      <c r="B60" s="18" t="s">
        <v>58</v>
      </c>
      <c r="C60" s="44">
        <v>1334.05</v>
      </c>
      <c r="D60" s="18">
        <v>37</v>
      </c>
      <c r="E60" s="18">
        <v>45</v>
      </c>
      <c r="F60" s="18">
        <f t="shared" si="4"/>
        <v>82</v>
      </c>
      <c r="H60" s="43" t="s">
        <v>42</v>
      </c>
      <c r="I60" s="18" t="s">
        <v>58</v>
      </c>
      <c r="J60" s="42">
        <v>-1425.65</v>
      </c>
      <c r="K60" s="18">
        <v>31</v>
      </c>
      <c r="L60" s="18">
        <v>37</v>
      </c>
      <c r="M60" s="18">
        <f t="shared" si="5"/>
        <v>68</v>
      </c>
    </row>
    <row r="61" spans="1:13" ht="15.75" customHeight="1" x14ac:dyDescent="0.3">
      <c r="A61" s="41" t="s">
        <v>44</v>
      </c>
      <c r="B61" s="17" t="s">
        <v>58</v>
      </c>
      <c r="C61" s="44">
        <v>996.45</v>
      </c>
      <c r="D61" s="17">
        <v>28</v>
      </c>
      <c r="E61" s="17">
        <v>37</v>
      </c>
      <c r="F61" s="17">
        <f t="shared" si="4"/>
        <v>65</v>
      </c>
      <c r="H61" s="41" t="s">
        <v>44</v>
      </c>
      <c r="I61" s="17" t="s">
        <v>58</v>
      </c>
      <c r="J61" s="44">
        <v>1807.85</v>
      </c>
      <c r="K61" s="17">
        <v>36</v>
      </c>
      <c r="L61" s="17">
        <v>31</v>
      </c>
      <c r="M61" s="17">
        <f t="shared" si="5"/>
        <v>67</v>
      </c>
    </row>
    <row r="62" spans="1:13" ht="24" customHeight="1" x14ac:dyDescent="0.3">
      <c r="A62" s="45" t="s">
        <v>59</v>
      </c>
      <c r="B62" s="45"/>
      <c r="C62" s="21">
        <f>SUM(C47:C61)</f>
        <v>14216.970000000001</v>
      </c>
      <c r="D62" s="45">
        <f>SUM(D47:D61)</f>
        <v>523</v>
      </c>
      <c r="E62" s="45">
        <f>SUM(E47:E61)</f>
        <v>693</v>
      </c>
      <c r="F62" s="45">
        <f>SUM(F47:F61)</f>
        <v>1216</v>
      </c>
      <c r="H62" s="45" t="s">
        <v>59</v>
      </c>
      <c r="I62" s="45"/>
      <c r="J62" s="23">
        <f>SUM(J47:J61)</f>
        <v>1139.4300000000003</v>
      </c>
      <c r="K62" s="45">
        <f>SUM(K47:K61)</f>
        <v>490</v>
      </c>
      <c r="L62" s="45">
        <f>SUM(L47:L61)</f>
        <v>619</v>
      </c>
      <c r="M62" s="45">
        <f>SUM(M47:M61)</f>
        <v>1109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1716.75</v>
      </c>
      <c r="D67" s="18">
        <v>33</v>
      </c>
      <c r="E67" s="18">
        <v>42</v>
      </c>
      <c r="F67" s="18">
        <f t="shared" ref="F67:F81" si="6">SUM(D67,E67)</f>
        <v>75</v>
      </c>
      <c r="H67" s="43" t="s">
        <v>16</v>
      </c>
      <c r="I67" s="18" t="s">
        <v>58</v>
      </c>
      <c r="J67" s="42">
        <v>-3220.85</v>
      </c>
      <c r="K67" s="18">
        <v>30</v>
      </c>
      <c r="L67" s="18">
        <v>54</v>
      </c>
      <c r="M67" s="18">
        <f t="shared" ref="M67:M81" si="7">SUM(K67,L67)</f>
        <v>84</v>
      </c>
    </row>
    <row r="68" spans="1:13" ht="15.75" customHeight="1" x14ac:dyDescent="0.3">
      <c r="A68" s="41" t="s">
        <v>18</v>
      </c>
      <c r="B68" s="17" t="s">
        <v>58</v>
      </c>
      <c r="C68" s="42">
        <v>-603.1</v>
      </c>
      <c r="D68" s="17">
        <v>32</v>
      </c>
      <c r="E68" s="17">
        <v>52</v>
      </c>
      <c r="F68" s="17">
        <f t="shared" si="6"/>
        <v>84</v>
      </c>
      <c r="H68" s="41" t="s">
        <v>18</v>
      </c>
      <c r="I68" s="17" t="s">
        <v>58</v>
      </c>
      <c r="J68" s="44">
        <v>743.65</v>
      </c>
      <c r="K68" s="17">
        <v>44</v>
      </c>
      <c r="L68" s="17">
        <v>55</v>
      </c>
      <c r="M68" s="17">
        <f t="shared" si="7"/>
        <v>99</v>
      </c>
    </row>
    <row r="69" spans="1:13" ht="15.75" customHeight="1" x14ac:dyDescent="0.3">
      <c r="A69" s="43" t="s">
        <v>20</v>
      </c>
      <c r="B69" s="18" t="s">
        <v>58</v>
      </c>
      <c r="C69" s="42">
        <v>-1057.6500000000001</v>
      </c>
      <c r="D69" s="18">
        <v>29</v>
      </c>
      <c r="E69" s="18">
        <v>50</v>
      </c>
      <c r="F69" s="18">
        <f t="shared" si="6"/>
        <v>79</v>
      </c>
      <c r="H69" s="43" t="s">
        <v>20</v>
      </c>
      <c r="I69" s="18" t="s">
        <v>58</v>
      </c>
      <c r="J69" s="44">
        <v>2463.75</v>
      </c>
      <c r="K69" s="18">
        <v>46</v>
      </c>
      <c r="L69" s="18">
        <v>43</v>
      </c>
      <c r="M69" s="18">
        <f t="shared" si="7"/>
        <v>89</v>
      </c>
    </row>
    <row r="70" spans="1:13" ht="15.75" customHeight="1" x14ac:dyDescent="0.3">
      <c r="A70" s="41" t="s">
        <v>22</v>
      </c>
      <c r="B70" s="17" t="s">
        <v>58</v>
      </c>
      <c r="C70" s="42">
        <v>-443.9</v>
      </c>
      <c r="D70" s="17">
        <v>38</v>
      </c>
      <c r="E70" s="17">
        <v>60</v>
      </c>
      <c r="F70" s="17">
        <f t="shared" si="6"/>
        <v>98</v>
      </c>
      <c r="H70" s="41" t="s">
        <v>22</v>
      </c>
      <c r="I70" s="17" t="s">
        <v>58</v>
      </c>
      <c r="J70" s="44">
        <v>1033</v>
      </c>
      <c r="K70" s="17">
        <v>41</v>
      </c>
      <c r="L70" s="17">
        <v>62</v>
      </c>
      <c r="M70" s="17">
        <f t="shared" si="7"/>
        <v>103</v>
      </c>
    </row>
    <row r="71" spans="1:13" ht="15.75" customHeight="1" x14ac:dyDescent="0.3">
      <c r="A71" s="43" t="s">
        <v>24</v>
      </c>
      <c r="B71" s="18" t="s">
        <v>58</v>
      </c>
      <c r="C71" s="42">
        <v>-1309</v>
      </c>
      <c r="D71" s="18">
        <v>39</v>
      </c>
      <c r="E71" s="18">
        <v>62</v>
      </c>
      <c r="F71" s="18">
        <f t="shared" si="6"/>
        <v>101</v>
      </c>
      <c r="H71" s="43" t="s">
        <v>24</v>
      </c>
      <c r="I71" s="18" t="s">
        <v>58</v>
      </c>
      <c r="J71" s="44">
        <v>1870.85</v>
      </c>
      <c r="K71" s="18">
        <v>40</v>
      </c>
      <c r="L71" s="18">
        <v>62</v>
      </c>
      <c r="M71" s="18">
        <f t="shared" si="7"/>
        <v>102</v>
      </c>
    </row>
    <row r="72" spans="1:13" ht="15.75" customHeight="1" x14ac:dyDescent="0.3">
      <c r="A72" s="41" t="s">
        <v>26</v>
      </c>
      <c r="B72" s="17" t="s">
        <v>58</v>
      </c>
      <c r="C72" s="42">
        <v>-466.9</v>
      </c>
      <c r="D72" s="17">
        <v>35</v>
      </c>
      <c r="E72" s="17">
        <v>43</v>
      </c>
      <c r="F72" s="17">
        <f t="shared" si="6"/>
        <v>78</v>
      </c>
      <c r="H72" s="41" t="s">
        <v>26</v>
      </c>
      <c r="I72" s="17" t="s">
        <v>58</v>
      </c>
      <c r="J72" s="44">
        <v>2539.25</v>
      </c>
      <c r="K72" s="17">
        <v>37</v>
      </c>
      <c r="L72" s="17">
        <v>39</v>
      </c>
      <c r="M72" s="17">
        <f t="shared" si="7"/>
        <v>76</v>
      </c>
    </row>
    <row r="73" spans="1:13" ht="15.75" customHeight="1" x14ac:dyDescent="0.3">
      <c r="A73" s="43" t="s">
        <v>28</v>
      </c>
      <c r="B73" s="18" t="s">
        <v>58</v>
      </c>
      <c r="C73" s="44">
        <v>838.15</v>
      </c>
      <c r="D73" s="18">
        <v>36</v>
      </c>
      <c r="E73" s="18">
        <v>56</v>
      </c>
      <c r="F73" s="18">
        <f t="shared" si="6"/>
        <v>92</v>
      </c>
      <c r="H73" s="43" t="s">
        <v>28</v>
      </c>
      <c r="I73" s="18" t="s">
        <v>58</v>
      </c>
      <c r="J73" s="44">
        <v>4155.8500000000004</v>
      </c>
      <c r="K73" s="18">
        <v>46</v>
      </c>
      <c r="L73" s="18">
        <v>48</v>
      </c>
      <c r="M73" s="18">
        <f t="shared" si="7"/>
        <v>94</v>
      </c>
    </row>
    <row r="74" spans="1:13" ht="15.75" customHeight="1" x14ac:dyDescent="0.3">
      <c r="A74" s="41" t="s">
        <v>30</v>
      </c>
      <c r="B74" s="17" t="s">
        <v>58</v>
      </c>
      <c r="C74" s="42">
        <v>-1856.3</v>
      </c>
      <c r="D74" s="17">
        <v>32</v>
      </c>
      <c r="E74" s="17">
        <v>60</v>
      </c>
      <c r="F74" s="17">
        <f t="shared" si="6"/>
        <v>92</v>
      </c>
      <c r="H74" s="41" t="s">
        <v>30</v>
      </c>
      <c r="I74" s="17" t="s">
        <v>58</v>
      </c>
      <c r="J74" s="44">
        <v>549.04999999999995</v>
      </c>
      <c r="K74" s="17">
        <v>38</v>
      </c>
      <c r="L74" s="17">
        <v>59</v>
      </c>
      <c r="M74" s="17">
        <f t="shared" si="7"/>
        <v>97</v>
      </c>
    </row>
    <row r="75" spans="1:13" ht="15.75" customHeight="1" x14ac:dyDescent="0.3">
      <c r="A75" s="43" t="s">
        <v>32</v>
      </c>
      <c r="B75" s="18" t="s">
        <v>58</v>
      </c>
      <c r="C75" s="44">
        <v>3187.3</v>
      </c>
      <c r="D75" s="18">
        <v>34</v>
      </c>
      <c r="E75" s="18">
        <v>41</v>
      </c>
      <c r="F75" s="18">
        <f t="shared" si="6"/>
        <v>75</v>
      </c>
      <c r="H75" s="43" t="s">
        <v>32</v>
      </c>
      <c r="I75" s="18" t="s">
        <v>58</v>
      </c>
      <c r="J75" s="42">
        <v>-86.35</v>
      </c>
      <c r="K75" s="18">
        <v>37</v>
      </c>
      <c r="L75" s="18">
        <v>56</v>
      </c>
      <c r="M75" s="18">
        <f t="shared" si="7"/>
        <v>93</v>
      </c>
    </row>
    <row r="76" spans="1:13" ht="15.75" customHeight="1" x14ac:dyDescent="0.3">
      <c r="A76" s="41" t="s">
        <v>34</v>
      </c>
      <c r="B76" s="17" t="s">
        <v>58</v>
      </c>
      <c r="C76" s="42">
        <v>-1846.4</v>
      </c>
      <c r="D76" s="17">
        <v>32</v>
      </c>
      <c r="E76" s="17">
        <v>55</v>
      </c>
      <c r="F76" s="17">
        <f t="shared" si="6"/>
        <v>87</v>
      </c>
      <c r="H76" s="41" t="s">
        <v>34</v>
      </c>
      <c r="I76" s="17" t="s">
        <v>58</v>
      </c>
      <c r="J76" s="44">
        <v>3470.95</v>
      </c>
      <c r="K76" s="17">
        <v>41</v>
      </c>
      <c r="L76" s="17">
        <v>51</v>
      </c>
      <c r="M76" s="17">
        <f t="shared" si="7"/>
        <v>92</v>
      </c>
    </row>
    <row r="77" spans="1:13" ht="15.75" customHeight="1" x14ac:dyDescent="0.3">
      <c r="A77" s="43" t="s">
        <v>36</v>
      </c>
      <c r="B77" s="18" t="s">
        <v>58</v>
      </c>
      <c r="C77" s="42">
        <v>-1499.3</v>
      </c>
      <c r="D77" s="18">
        <v>41</v>
      </c>
      <c r="E77" s="18">
        <v>52</v>
      </c>
      <c r="F77" s="18">
        <f t="shared" si="6"/>
        <v>93</v>
      </c>
      <c r="H77" s="43" t="s">
        <v>36</v>
      </c>
      <c r="I77" s="18" t="s">
        <v>58</v>
      </c>
      <c r="J77" s="42">
        <v>-1077.3</v>
      </c>
      <c r="K77" s="18">
        <v>36</v>
      </c>
      <c r="L77" s="18">
        <v>65</v>
      </c>
      <c r="M77" s="18">
        <f t="shared" si="7"/>
        <v>101</v>
      </c>
    </row>
    <row r="78" spans="1:13" ht="15.75" customHeight="1" x14ac:dyDescent="0.3">
      <c r="A78" s="41" t="s">
        <v>38</v>
      </c>
      <c r="B78" s="17" t="s">
        <v>58</v>
      </c>
      <c r="C78" s="44">
        <v>2762.55</v>
      </c>
      <c r="D78" s="17">
        <v>41</v>
      </c>
      <c r="E78" s="17">
        <v>37</v>
      </c>
      <c r="F78" s="17">
        <f t="shared" si="6"/>
        <v>78</v>
      </c>
      <c r="H78" s="41" t="s">
        <v>38</v>
      </c>
      <c r="I78" s="17" t="s">
        <v>58</v>
      </c>
      <c r="J78" s="44">
        <v>767.05</v>
      </c>
      <c r="K78" s="17">
        <v>30</v>
      </c>
      <c r="L78" s="17">
        <v>53</v>
      </c>
      <c r="M78" s="17">
        <f t="shared" si="7"/>
        <v>83</v>
      </c>
    </row>
    <row r="79" spans="1:13" ht="15.75" customHeight="1" x14ac:dyDescent="0.3">
      <c r="A79" s="43" t="s">
        <v>40</v>
      </c>
      <c r="B79" s="18" t="s">
        <v>58</v>
      </c>
      <c r="C79" s="42">
        <v>-2899.6</v>
      </c>
      <c r="D79" s="18">
        <v>28</v>
      </c>
      <c r="E79" s="18">
        <v>54</v>
      </c>
      <c r="F79" s="18">
        <f t="shared" si="6"/>
        <v>82</v>
      </c>
      <c r="H79" s="43" t="s">
        <v>40</v>
      </c>
      <c r="I79" s="18" t="s">
        <v>58</v>
      </c>
      <c r="J79" s="44">
        <v>1830.1</v>
      </c>
      <c r="K79" s="18">
        <v>40</v>
      </c>
      <c r="L79" s="18">
        <v>41</v>
      </c>
      <c r="M79" s="18">
        <f t="shared" si="7"/>
        <v>81</v>
      </c>
    </row>
    <row r="80" spans="1:13" ht="15.75" customHeight="1" x14ac:dyDescent="0.3">
      <c r="A80" s="41" t="s">
        <v>42</v>
      </c>
      <c r="B80" s="17" t="s">
        <v>58</v>
      </c>
      <c r="C80" s="42">
        <v>-670.2</v>
      </c>
      <c r="D80" s="17">
        <v>37</v>
      </c>
      <c r="E80" s="17">
        <v>45</v>
      </c>
      <c r="F80" s="17">
        <f t="shared" si="6"/>
        <v>82</v>
      </c>
      <c r="H80" s="41" t="s">
        <v>42</v>
      </c>
      <c r="I80" s="17" t="s">
        <v>58</v>
      </c>
      <c r="J80" s="44">
        <v>192.5</v>
      </c>
      <c r="K80" s="17">
        <v>33</v>
      </c>
      <c r="L80" s="17">
        <v>43</v>
      </c>
      <c r="M80" s="17">
        <f t="shared" si="7"/>
        <v>76</v>
      </c>
    </row>
    <row r="81" spans="1:13" ht="15.75" customHeight="1" x14ac:dyDescent="0.3">
      <c r="A81" s="43" t="s">
        <v>44</v>
      </c>
      <c r="B81" s="18" t="s">
        <v>58</v>
      </c>
      <c r="C81" s="42">
        <v>-534.75</v>
      </c>
      <c r="D81" s="18">
        <v>32</v>
      </c>
      <c r="E81" s="18">
        <v>39</v>
      </c>
      <c r="F81" s="18">
        <f t="shared" si="6"/>
        <v>71</v>
      </c>
      <c r="H81" s="43" t="s">
        <v>44</v>
      </c>
      <c r="I81" s="18" t="s">
        <v>58</v>
      </c>
      <c r="J81" s="44">
        <v>2334.6999999999998</v>
      </c>
      <c r="K81" s="18">
        <v>38</v>
      </c>
      <c r="L81" s="18">
        <v>39</v>
      </c>
      <c r="M81" s="18">
        <f t="shared" si="7"/>
        <v>77</v>
      </c>
    </row>
    <row r="82" spans="1:13" ht="24" customHeight="1" x14ac:dyDescent="0.3">
      <c r="A82" s="45" t="s">
        <v>59</v>
      </c>
      <c r="B82" s="45"/>
      <c r="C82" s="23">
        <f>SUM(C67:C81)</f>
        <v>-4682.3499999999995</v>
      </c>
      <c r="D82" s="45">
        <f>SUM(D67:D81)</f>
        <v>519</v>
      </c>
      <c r="E82" s="45">
        <f>SUM(E67:E81)</f>
        <v>748</v>
      </c>
      <c r="F82" s="45">
        <f>SUM(F67:F81)</f>
        <v>1267</v>
      </c>
      <c r="H82" s="45" t="s">
        <v>59</v>
      </c>
      <c r="I82" s="45"/>
      <c r="J82" s="21">
        <f>SUM(J67:J81)</f>
        <v>17566.199999999997</v>
      </c>
      <c r="K82" s="45">
        <f>SUM(K67:K81)</f>
        <v>577</v>
      </c>
      <c r="L82" s="45">
        <f>SUM(L67:L81)</f>
        <v>770</v>
      </c>
      <c r="M82" s="45">
        <f>SUM(M67:M81)</f>
        <v>1347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26343.540000000005</v>
      </c>
      <c r="E86" s="28">
        <f>SUM(D82,D62,D42,D22)</f>
        <v>2175</v>
      </c>
      <c r="F86" s="28">
        <f>SUM(E82,E62,E42,E22)</f>
        <v>2879</v>
      </c>
      <c r="G86" s="28">
        <f>SUM(E86:F86)</f>
        <v>5054</v>
      </c>
      <c r="H86" s="29">
        <f>E86/G86</f>
        <v>0.43035219628017413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25377.059999999998</v>
      </c>
      <c r="E87" s="33">
        <f>SUM(K82,K62,K42,K22)</f>
        <v>2155</v>
      </c>
      <c r="F87" s="33">
        <f>SUM(L82,L62,L42,L22)</f>
        <v>2751</v>
      </c>
      <c r="G87" s="33">
        <f>SUM(E87:F87)</f>
        <v>4906</v>
      </c>
      <c r="H87" s="34">
        <f>E87/G87</f>
        <v>0.4392580513656747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51720.600000000006</v>
      </c>
      <c r="E88" s="6">
        <f>SUM(E86:E87)</f>
        <v>4330</v>
      </c>
      <c r="F88" s="6">
        <f>SUM(F86:F87)</f>
        <v>5630</v>
      </c>
      <c r="G88" s="6">
        <f>SUM(G86:G87)</f>
        <v>9960</v>
      </c>
      <c r="H88" s="37">
        <f>AVERAGE(H86,H87)</f>
        <v>0.43480512382292441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M90"/>
  <sheetViews>
    <sheetView showGridLines="0" zoomScaleNormal="100" workbookViewId="0">
      <pane ySplit="2" topLeftCell="A13" activePane="bottomLeft" state="frozen"/>
      <selection pane="bottomLeft" sqref="A1:M1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" customWidth="1"/>
    <col min="4" max="4" width="8.5546875" customWidth="1"/>
    <col min="5" max="5" width="7" customWidth="1"/>
    <col min="6" max="6" width="11" customWidth="1"/>
    <col min="7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2">
        <v>-2833.8</v>
      </c>
      <c r="D7" s="17">
        <v>41</v>
      </c>
      <c r="E7" s="17">
        <v>81</v>
      </c>
      <c r="F7" s="17">
        <f t="shared" ref="F7:F21" si="0">SUM(D7,E7)</f>
        <v>122</v>
      </c>
      <c r="H7" s="41" t="s">
        <v>16</v>
      </c>
      <c r="I7" s="17" t="s">
        <v>58</v>
      </c>
      <c r="J7" s="42">
        <v>-3033</v>
      </c>
      <c r="K7" s="17">
        <v>62</v>
      </c>
      <c r="L7" s="17">
        <v>112</v>
      </c>
      <c r="M7" s="17">
        <f t="shared" ref="M7:M21" si="1">SUM(K7,L7)</f>
        <v>174</v>
      </c>
    </row>
    <row r="8" spans="1:13" ht="15.75" customHeight="1" x14ac:dyDescent="0.3">
      <c r="A8" s="43" t="s">
        <v>18</v>
      </c>
      <c r="B8" s="18" t="s">
        <v>58</v>
      </c>
      <c r="C8" s="44">
        <v>5512.55</v>
      </c>
      <c r="D8" s="18">
        <v>62</v>
      </c>
      <c r="E8" s="18">
        <v>64</v>
      </c>
      <c r="F8" s="18">
        <f t="shared" si="0"/>
        <v>126</v>
      </c>
      <c r="H8" s="43" t="s">
        <v>18</v>
      </c>
      <c r="I8" s="18" t="s">
        <v>58</v>
      </c>
      <c r="J8" s="42">
        <v>-10245.950000000001</v>
      </c>
      <c r="K8" s="18">
        <v>52</v>
      </c>
      <c r="L8" s="18">
        <v>133</v>
      </c>
      <c r="M8" s="18">
        <f t="shared" si="1"/>
        <v>185</v>
      </c>
    </row>
    <row r="9" spans="1:13" ht="15.75" customHeight="1" x14ac:dyDescent="0.3">
      <c r="A9" s="41" t="s">
        <v>20</v>
      </c>
      <c r="B9" s="17" t="s">
        <v>58</v>
      </c>
      <c r="C9" s="44">
        <v>2362.4499999999998</v>
      </c>
      <c r="D9" s="17">
        <v>55</v>
      </c>
      <c r="E9" s="17">
        <v>68</v>
      </c>
      <c r="F9" s="17">
        <f t="shared" si="0"/>
        <v>123</v>
      </c>
      <c r="H9" s="41" t="s">
        <v>20</v>
      </c>
      <c r="I9" s="17" t="s">
        <v>58</v>
      </c>
      <c r="J9" s="44">
        <v>676.8</v>
      </c>
      <c r="K9" s="17">
        <v>59</v>
      </c>
      <c r="L9" s="17">
        <v>99</v>
      </c>
      <c r="M9" s="17">
        <f t="shared" si="1"/>
        <v>158</v>
      </c>
    </row>
    <row r="10" spans="1:13" ht="15.75" customHeight="1" x14ac:dyDescent="0.3">
      <c r="A10" s="43" t="s">
        <v>22</v>
      </c>
      <c r="B10" s="18" t="s">
        <v>58</v>
      </c>
      <c r="C10" s="42">
        <v>-537.9</v>
      </c>
      <c r="D10" s="18">
        <v>54</v>
      </c>
      <c r="E10" s="18">
        <v>91</v>
      </c>
      <c r="F10" s="18">
        <f t="shared" si="0"/>
        <v>145</v>
      </c>
      <c r="H10" s="43" t="s">
        <v>22</v>
      </c>
      <c r="I10" s="18" t="s">
        <v>58</v>
      </c>
      <c r="J10" s="42">
        <v>-2312.4499999999998</v>
      </c>
      <c r="K10" s="18">
        <v>73</v>
      </c>
      <c r="L10" s="18">
        <v>115</v>
      </c>
      <c r="M10" s="18">
        <f t="shared" si="1"/>
        <v>188</v>
      </c>
    </row>
    <row r="11" spans="1:13" ht="15.75" customHeight="1" x14ac:dyDescent="0.3">
      <c r="A11" s="41" t="s">
        <v>24</v>
      </c>
      <c r="B11" s="17" t="s">
        <v>58</v>
      </c>
      <c r="C11" s="44">
        <v>3757.27</v>
      </c>
      <c r="D11" s="17">
        <v>51</v>
      </c>
      <c r="E11" s="17">
        <v>45</v>
      </c>
      <c r="F11" s="17">
        <f t="shared" si="0"/>
        <v>96</v>
      </c>
      <c r="H11" s="41" t="s">
        <v>24</v>
      </c>
      <c r="I11" s="17" t="s">
        <v>58</v>
      </c>
      <c r="J11" s="42">
        <v>-2570.5700000000002</v>
      </c>
      <c r="K11" s="17">
        <v>59</v>
      </c>
      <c r="L11" s="17">
        <v>70</v>
      </c>
      <c r="M11" s="17">
        <f t="shared" si="1"/>
        <v>129</v>
      </c>
    </row>
    <row r="12" spans="1:13" ht="15.75" customHeight="1" x14ac:dyDescent="0.3">
      <c r="A12" s="43" t="s">
        <v>26</v>
      </c>
      <c r="B12" s="18" t="s">
        <v>58</v>
      </c>
      <c r="C12" s="42">
        <v>-1385.65</v>
      </c>
      <c r="D12" s="18">
        <v>44</v>
      </c>
      <c r="E12" s="18">
        <v>68</v>
      </c>
      <c r="F12" s="18">
        <f t="shared" si="0"/>
        <v>112</v>
      </c>
      <c r="H12" s="43" t="s">
        <v>26</v>
      </c>
      <c r="I12" s="18" t="s">
        <v>58</v>
      </c>
      <c r="J12" s="44">
        <v>1108.1500000000001</v>
      </c>
      <c r="K12" s="18">
        <v>53</v>
      </c>
      <c r="L12" s="18">
        <v>77</v>
      </c>
      <c r="M12" s="18">
        <f t="shared" si="1"/>
        <v>130</v>
      </c>
    </row>
    <row r="13" spans="1:13" ht="15.75" customHeight="1" x14ac:dyDescent="0.3">
      <c r="A13" s="41" t="s">
        <v>28</v>
      </c>
      <c r="B13" s="17" t="s">
        <v>58</v>
      </c>
      <c r="C13" s="44">
        <v>1763.65</v>
      </c>
      <c r="D13" s="17">
        <v>54</v>
      </c>
      <c r="E13" s="17">
        <v>68</v>
      </c>
      <c r="F13" s="17">
        <f t="shared" si="0"/>
        <v>122</v>
      </c>
      <c r="H13" s="41" t="s">
        <v>28</v>
      </c>
      <c r="I13" s="17" t="s">
        <v>58</v>
      </c>
      <c r="J13" s="42">
        <v>-7776.15</v>
      </c>
      <c r="K13" s="17">
        <v>51</v>
      </c>
      <c r="L13" s="17">
        <v>119</v>
      </c>
      <c r="M13" s="17">
        <f t="shared" si="1"/>
        <v>170</v>
      </c>
    </row>
    <row r="14" spans="1:13" ht="15.75" customHeight="1" x14ac:dyDescent="0.3">
      <c r="A14" s="43" t="s">
        <v>30</v>
      </c>
      <c r="B14" s="18" t="s">
        <v>58</v>
      </c>
      <c r="C14" s="42">
        <v>-427.6</v>
      </c>
      <c r="D14" s="18">
        <v>53</v>
      </c>
      <c r="E14" s="18">
        <v>57</v>
      </c>
      <c r="F14" s="18">
        <f t="shared" si="0"/>
        <v>110</v>
      </c>
      <c r="H14" s="43" t="s">
        <v>30</v>
      </c>
      <c r="I14" s="18" t="s">
        <v>58</v>
      </c>
      <c r="J14" s="42">
        <v>-1705</v>
      </c>
      <c r="K14" s="18">
        <v>55</v>
      </c>
      <c r="L14" s="18">
        <v>82</v>
      </c>
      <c r="M14" s="18">
        <f t="shared" si="1"/>
        <v>137</v>
      </c>
    </row>
    <row r="15" spans="1:13" ht="15.75" customHeight="1" x14ac:dyDescent="0.3">
      <c r="A15" s="41" t="s">
        <v>32</v>
      </c>
      <c r="B15" s="17" t="s">
        <v>58</v>
      </c>
      <c r="C15" s="44">
        <v>3557.8</v>
      </c>
      <c r="D15" s="17">
        <v>52</v>
      </c>
      <c r="E15" s="17">
        <v>62</v>
      </c>
      <c r="F15" s="17">
        <f t="shared" si="0"/>
        <v>114</v>
      </c>
      <c r="H15" s="41" t="s">
        <v>32</v>
      </c>
      <c r="I15" s="17" t="s">
        <v>58</v>
      </c>
      <c r="J15" s="42">
        <v>-3025.95</v>
      </c>
      <c r="K15" s="17">
        <v>47</v>
      </c>
      <c r="L15" s="17">
        <v>87</v>
      </c>
      <c r="M15" s="17">
        <f t="shared" si="1"/>
        <v>134</v>
      </c>
    </row>
    <row r="16" spans="1:13" ht="15.75" customHeight="1" x14ac:dyDescent="0.3">
      <c r="A16" s="43" t="s">
        <v>34</v>
      </c>
      <c r="B16" s="18" t="s">
        <v>58</v>
      </c>
      <c r="C16" s="44">
        <v>3967.62</v>
      </c>
      <c r="D16" s="18">
        <v>59</v>
      </c>
      <c r="E16" s="18">
        <v>62</v>
      </c>
      <c r="F16" s="18">
        <f t="shared" si="0"/>
        <v>121</v>
      </c>
      <c r="H16" s="43" t="s">
        <v>34</v>
      </c>
      <c r="I16" s="18" t="s">
        <v>58</v>
      </c>
      <c r="J16" s="42">
        <v>-5926.86</v>
      </c>
      <c r="K16" s="18">
        <v>58</v>
      </c>
      <c r="L16" s="18">
        <v>111</v>
      </c>
      <c r="M16" s="18">
        <f t="shared" si="1"/>
        <v>169</v>
      </c>
    </row>
    <row r="17" spans="1:13" ht="15.75" customHeight="1" x14ac:dyDescent="0.3">
      <c r="A17" s="41" t="s">
        <v>36</v>
      </c>
      <c r="B17" s="17" t="s">
        <v>58</v>
      </c>
      <c r="C17" s="44">
        <v>1707.33</v>
      </c>
      <c r="D17" s="17">
        <v>53</v>
      </c>
      <c r="E17" s="17">
        <v>72</v>
      </c>
      <c r="F17" s="17">
        <f t="shared" si="0"/>
        <v>125</v>
      </c>
      <c r="H17" s="41" t="s">
        <v>36</v>
      </c>
      <c r="I17" s="17" t="s">
        <v>58</v>
      </c>
      <c r="J17" s="42">
        <v>-5569.87</v>
      </c>
      <c r="K17" s="17">
        <v>49</v>
      </c>
      <c r="L17" s="17">
        <v>108</v>
      </c>
      <c r="M17" s="17">
        <f t="shared" si="1"/>
        <v>157</v>
      </c>
    </row>
    <row r="18" spans="1:13" ht="15.75" customHeight="1" x14ac:dyDescent="0.3">
      <c r="A18" s="43" t="s">
        <v>38</v>
      </c>
      <c r="B18" s="18" t="s">
        <v>58</v>
      </c>
      <c r="C18" s="44">
        <v>1411.05</v>
      </c>
      <c r="D18" s="18">
        <v>48</v>
      </c>
      <c r="E18" s="18">
        <v>60</v>
      </c>
      <c r="F18" s="18">
        <f t="shared" si="0"/>
        <v>108</v>
      </c>
      <c r="H18" s="43" t="s">
        <v>38</v>
      </c>
      <c r="I18" s="18" t="s">
        <v>58</v>
      </c>
      <c r="J18" s="42">
        <v>-3860.7</v>
      </c>
      <c r="K18" s="18">
        <v>51</v>
      </c>
      <c r="L18" s="18">
        <v>90</v>
      </c>
      <c r="M18" s="18">
        <f t="shared" si="1"/>
        <v>141</v>
      </c>
    </row>
    <row r="19" spans="1:13" ht="15.75" customHeight="1" x14ac:dyDescent="0.3">
      <c r="A19" s="41" t="s">
        <v>40</v>
      </c>
      <c r="B19" s="17" t="s">
        <v>58</v>
      </c>
      <c r="C19" s="44">
        <v>714.85</v>
      </c>
      <c r="D19" s="17">
        <v>51</v>
      </c>
      <c r="E19" s="17">
        <v>64</v>
      </c>
      <c r="F19" s="17">
        <f t="shared" si="0"/>
        <v>115</v>
      </c>
      <c r="H19" s="41" t="s">
        <v>40</v>
      </c>
      <c r="I19" s="17" t="s">
        <v>58</v>
      </c>
      <c r="J19" s="42">
        <v>-782.2</v>
      </c>
      <c r="K19" s="17">
        <v>59</v>
      </c>
      <c r="L19" s="17">
        <v>83</v>
      </c>
      <c r="M19" s="17">
        <f t="shared" si="1"/>
        <v>142</v>
      </c>
    </row>
    <row r="20" spans="1:13" ht="15.75" customHeight="1" x14ac:dyDescent="0.3">
      <c r="A20" s="43" t="s">
        <v>42</v>
      </c>
      <c r="B20" s="18" t="s">
        <v>58</v>
      </c>
      <c r="C20" s="44">
        <v>1711.05</v>
      </c>
      <c r="D20" s="18">
        <v>52</v>
      </c>
      <c r="E20" s="18">
        <v>67</v>
      </c>
      <c r="F20" s="18">
        <f t="shared" si="0"/>
        <v>119</v>
      </c>
      <c r="H20" s="43" t="s">
        <v>42</v>
      </c>
      <c r="I20" s="18" t="s">
        <v>58</v>
      </c>
      <c r="J20" s="42">
        <v>-1094.8</v>
      </c>
      <c r="K20" s="18">
        <v>57</v>
      </c>
      <c r="L20" s="18">
        <v>97</v>
      </c>
      <c r="M20" s="18">
        <f t="shared" si="1"/>
        <v>154</v>
      </c>
    </row>
    <row r="21" spans="1:13" ht="15.75" customHeight="1" x14ac:dyDescent="0.3">
      <c r="A21" s="41" t="s">
        <v>44</v>
      </c>
      <c r="B21" s="17" t="s">
        <v>58</v>
      </c>
      <c r="C21" s="44">
        <v>224.35</v>
      </c>
      <c r="D21" s="17">
        <v>51</v>
      </c>
      <c r="E21" s="17">
        <v>53</v>
      </c>
      <c r="F21" s="17">
        <f t="shared" si="0"/>
        <v>104</v>
      </c>
      <c r="H21" s="41" t="s">
        <v>44</v>
      </c>
      <c r="I21" s="17" t="s">
        <v>58</v>
      </c>
      <c r="J21" s="42">
        <v>-2597.9</v>
      </c>
      <c r="K21" s="17">
        <v>53</v>
      </c>
      <c r="L21" s="17">
        <v>70</v>
      </c>
      <c r="M21" s="17">
        <f t="shared" si="1"/>
        <v>123</v>
      </c>
    </row>
    <row r="22" spans="1:13" ht="24" customHeight="1" x14ac:dyDescent="0.3">
      <c r="A22" s="45" t="s">
        <v>59</v>
      </c>
      <c r="B22" s="45"/>
      <c r="C22" s="21">
        <f>SUM(C7:C21)</f>
        <v>21505.019999999997</v>
      </c>
      <c r="D22" s="45">
        <f>SUM(D7:D21)</f>
        <v>780</v>
      </c>
      <c r="E22" s="45">
        <f>SUM(E7:E21)</f>
        <v>982</v>
      </c>
      <c r="F22" s="45">
        <f>SUM(F7:F21)</f>
        <v>1762</v>
      </c>
      <c r="H22" s="45" t="s">
        <v>59</v>
      </c>
      <c r="I22" s="45"/>
      <c r="J22" s="23">
        <f>SUM(J7:J21)</f>
        <v>-48716.450000000004</v>
      </c>
      <c r="K22" s="45">
        <f>SUM(K7:K21)</f>
        <v>838</v>
      </c>
      <c r="L22" s="45">
        <f>SUM(L7:L21)</f>
        <v>1453</v>
      </c>
      <c r="M22" s="45">
        <f>SUM(M7:M21)</f>
        <v>2291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-913.9</v>
      </c>
      <c r="D27" s="18">
        <v>49</v>
      </c>
      <c r="E27" s="18">
        <v>71</v>
      </c>
      <c r="F27" s="18">
        <f t="shared" ref="F27:F41" si="2">SUM(D27,E27)</f>
        <v>120</v>
      </c>
      <c r="H27" s="43" t="s">
        <v>16</v>
      </c>
      <c r="I27" s="18" t="s">
        <v>58</v>
      </c>
      <c r="J27" s="44">
        <v>4247.05</v>
      </c>
      <c r="K27" s="18">
        <v>64</v>
      </c>
      <c r="L27" s="18">
        <v>67</v>
      </c>
      <c r="M27" s="18">
        <f t="shared" ref="M27:M41" si="3">SUM(K27,L27)</f>
        <v>131</v>
      </c>
    </row>
    <row r="28" spans="1:13" ht="15.75" customHeight="1" x14ac:dyDescent="0.3">
      <c r="A28" s="41" t="s">
        <v>18</v>
      </c>
      <c r="B28" s="17" t="s">
        <v>58</v>
      </c>
      <c r="C28" s="42">
        <v>-541.29999999999995</v>
      </c>
      <c r="D28" s="17">
        <v>44</v>
      </c>
      <c r="E28" s="17">
        <v>65</v>
      </c>
      <c r="F28" s="17">
        <f t="shared" si="2"/>
        <v>109</v>
      </c>
      <c r="H28" s="41" t="s">
        <v>18</v>
      </c>
      <c r="I28" s="17" t="s">
        <v>58</v>
      </c>
      <c r="J28" s="44">
        <v>1652.95</v>
      </c>
      <c r="K28" s="17">
        <v>62</v>
      </c>
      <c r="L28" s="17">
        <v>83</v>
      </c>
      <c r="M28" s="17">
        <f t="shared" si="3"/>
        <v>145</v>
      </c>
    </row>
    <row r="29" spans="1:13" ht="15.75" customHeight="1" x14ac:dyDescent="0.3">
      <c r="A29" s="43" t="s">
        <v>20</v>
      </c>
      <c r="B29" s="18" t="s">
        <v>58</v>
      </c>
      <c r="C29" s="42">
        <v>-2954.9</v>
      </c>
      <c r="D29" s="18">
        <v>43</v>
      </c>
      <c r="E29" s="18">
        <v>72</v>
      </c>
      <c r="F29" s="18">
        <f t="shared" si="2"/>
        <v>115</v>
      </c>
      <c r="H29" s="43" t="s">
        <v>20</v>
      </c>
      <c r="I29" s="18" t="s">
        <v>58</v>
      </c>
      <c r="J29" s="44">
        <v>6157.5</v>
      </c>
      <c r="K29" s="18">
        <v>74</v>
      </c>
      <c r="L29" s="18">
        <v>59</v>
      </c>
      <c r="M29" s="18">
        <f t="shared" si="3"/>
        <v>133</v>
      </c>
    </row>
    <row r="30" spans="1:13" ht="15.75" customHeight="1" x14ac:dyDescent="0.3">
      <c r="A30" s="41" t="s">
        <v>22</v>
      </c>
      <c r="B30" s="17" t="s">
        <v>58</v>
      </c>
      <c r="C30" s="42">
        <v>-1262.3</v>
      </c>
      <c r="D30" s="17">
        <v>46</v>
      </c>
      <c r="E30" s="17">
        <v>72</v>
      </c>
      <c r="F30" s="17">
        <f t="shared" si="2"/>
        <v>118</v>
      </c>
      <c r="H30" s="41" t="s">
        <v>22</v>
      </c>
      <c r="I30" s="17" t="s">
        <v>58</v>
      </c>
      <c r="J30" s="44">
        <v>77.599999999999994</v>
      </c>
      <c r="K30" s="17">
        <v>68</v>
      </c>
      <c r="L30" s="17">
        <v>96</v>
      </c>
      <c r="M30" s="17">
        <f t="shared" si="3"/>
        <v>164</v>
      </c>
    </row>
    <row r="31" spans="1:13" ht="15.75" customHeight="1" x14ac:dyDescent="0.3">
      <c r="A31" s="43" t="s">
        <v>24</v>
      </c>
      <c r="B31" s="18" t="s">
        <v>58</v>
      </c>
      <c r="C31" s="42">
        <v>-1160.05</v>
      </c>
      <c r="D31" s="18">
        <v>55</v>
      </c>
      <c r="E31" s="18">
        <v>68</v>
      </c>
      <c r="F31" s="18">
        <f t="shared" si="2"/>
        <v>123</v>
      </c>
      <c r="H31" s="43" t="s">
        <v>24</v>
      </c>
      <c r="I31" s="18" t="s">
        <v>58</v>
      </c>
      <c r="J31" s="44">
        <v>4230.95</v>
      </c>
      <c r="K31" s="18">
        <v>65</v>
      </c>
      <c r="L31" s="18">
        <v>73</v>
      </c>
      <c r="M31" s="18">
        <f t="shared" si="3"/>
        <v>138</v>
      </c>
    </row>
    <row r="32" spans="1:13" ht="15.75" customHeight="1" x14ac:dyDescent="0.3">
      <c r="A32" s="41" t="s">
        <v>26</v>
      </c>
      <c r="B32" s="17" t="s">
        <v>58</v>
      </c>
      <c r="C32" s="42">
        <v>-2773</v>
      </c>
      <c r="D32" s="17">
        <v>39</v>
      </c>
      <c r="E32" s="17">
        <v>56</v>
      </c>
      <c r="F32" s="17">
        <f t="shared" si="2"/>
        <v>95</v>
      </c>
      <c r="H32" s="41" t="s">
        <v>26</v>
      </c>
      <c r="I32" s="17" t="s">
        <v>58</v>
      </c>
      <c r="J32" s="44">
        <v>2285.5500000000002</v>
      </c>
      <c r="K32" s="17">
        <v>53</v>
      </c>
      <c r="L32" s="17">
        <v>50</v>
      </c>
      <c r="M32" s="17">
        <f t="shared" si="3"/>
        <v>103</v>
      </c>
    </row>
    <row r="33" spans="1:13" ht="15.75" customHeight="1" x14ac:dyDescent="0.3">
      <c r="A33" s="43" t="s">
        <v>28</v>
      </c>
      <c r="B33" s="18" t="s">
        <v>58</v>
      </c>
      <c r="C33" s="42">
        <v>-88.1</v>
      </c>
      <c r="D33" s="18">
        <v>46</v>
      </c>
      <c r="E33" s="18">
        <v>71</v>
      </c>
      <c r="F33" s="18">
        <f t="shared" si="2"/>
        <v>117</v>
      </c>
      <c r="H33" s="43" t="s">
        <v>28</v>
      </c>
      <c r="I33" s="18" t="s">
        <v>58</v>
      </c>
      <c r="J33" s="42">
        <v>-468.55</v>
      </c>
      <c r="K33" s="18">
        <v>69</v>
      </c>
      <c r="L33" s="18">
        <v>92</v>
      </c>
      <c r="M33" s="18">
        <f t="shared" si="3"/>
        <v>161</v>
      </c>
    </row>
    <row r="34" spans="1:13" ht="15.75" customHeight="1" x14ac:dyDescent="0.3">
      <c r="A34" s="41" t="s">
        <v>30</v>
      </c>
      <c r="B34" s="17" t="s">
        <v>58</v>
      </c>
      <c r="C34" s="44">
        <v>1406.5</v>
      </c>
      <c r="D34" s="17">
        <v>44</v>
      </c>
      <c r="E34" s="17">
        <v>53</v>
      </c>
      <c r="F34" s="17">
        <f t="shared" si="2"/>
        <v>97</v>
      </c>
      <c r="H34" s="41" t="s">
        <v>30</v>
      </c>
      <c r="I34" s="17" t="s">
        <v>58</v>
      </c>
      <c r="J34" s="42">
        <v>-2578.25</v>
      </c>
      <c r="K34" s="17">
        <v>48</v>
      </c>
      <c r="L34" s="17">
        <v>72</v>
      </c>
      <c r="M34" s="17">
        <f t="shared" si="3"/>
        <v>120</v>
      </c>
    </row>
    <row r="35" spans="1:13" ht="15.75" customHeight="1" x14ac:dyDescent="0.3">
      <c r="A35" s="43" t="s">
        <v>32</v>
      </c>
      <c r="B35" s="18" t="s">
        <v>58</v>
      </c>
      <c r="C35" s="42">
        <v>-1121.9000000000001</v>
      </c>
      <c r="D35" s="18">
        <v>41</v>
      </c>
      <c r="E35" s="18">
        <v>63</v>
      </c>
      <c r="F35" s="18">
        <f t="shared" si="2"/>
        <v>104</v>
      </c>
      <c r="H35" s="43" t="s">
        <v>32</v>
      </c>
      <c r="I35" s="18" t="s">
        <v>58</v>
      </c>
      <c r="J35" s="44">
        <v>1432.6</v>
      </c>
      <c r="K35" s="18">
        <v>54</v>
      </c>
      <c r="L35" s="18">
        <v>72</v>
      </c>
      <c r="M35" s="18">
        <f t="shared" si="3"/>
        <v>126</v>
      </c>
    </row>
    <row r="36" spans="1:13" ht="15.75" customHeight="1" x14ac:dyDescent="0.3">
      <c r="A36" s="41" t="s">
        <v>34</v>
      </c>
      <c r="B36" s="17" t="s">
        <v>58</v>
      </c>
      <c r="C36" s="44">
        <v>420.35</v>
      </c>
      <c r="D36" s="17">
        <v>43</v>
      </c>
      <c r="E36" s="17">
        <v>68</v>
      </c>
      <c r="F36" s="17">
        <f t="shared" si="2"/>
        <v>111</v>
      </c>
      <c r="H36" s="41" t="s">
        <v>34</v>
      </c>
      <c r="I36" s="17" t="s">
        <v>58</v>
      </c>
      <c r="J36" s="42">
        <v>-195.65</v>
      </c>
      <c r="K36" s="17">
        <v>66</v>
      </c>
      <c r="L36" s="17">
        <v>74</v>
      </c>
      <c r="M36" s="17">
        <f t="shared" si="3"/>
        <v>140</v>
      </c>
    </row>
    <row r="37" spans="1:13" ht="15.75" customHeight="1" x14ac:dyDescent="0.3">
      <c r="A37" s="43" t="s">
        <v>36</v>
      </c>
      <c r="B37" s="18" t="s">
        <v>58</v>
      </c>
      <c r="C37" s="42">
        <v>-3264</v>
      </c>
      <c r="D37" s="18">
        <v>41</v>
      </c>
      <c r="E37" s="18">
        <v>73</v>
      </c>
      <c r="F37" s="18">
        <f t="shared" si="2"/>
        <v>114</v>
      </c>
      <c r="H37" s="43" t="s">
        <v>36</v>
      </c>
      <c r="I37" s="18" t="s">
        <v>58</v>
      </c>
      <c r="J37" s="44">
        <v>3581.2</v>
      </c>
      <c r="K37" s="18">
        <v>64</v>
      </c>
      <c r="L37" s="18">
        <v>70</v>
      </c>
      <c r="M37" s="18">
        <f t="shared" si="3"/>
        <v>134</v>
      </c>
    </row>
    <row r="38" spans="1:13" ht="15.75" customHeight="1" x14ac:dyDescent="0.3">
      <c r="A38" s="41" t="s">
        <v>38</v>
      </c>
      <c r="B38" s="17" t="s">
        <v>58</v>
      </c>
      <c r="C38" s="44">
        <v>581.95000000000005</v>
      </c>
      <c r="D38" s="17">
        <v>43</v>
      </c>
      <c r="E38" s="17">
        <v>46</v>
      </c>
      <c r="F38" s="17">
        <f t="shared" si="2"/>
        <v>89</v>
      </c>
      <c r="H38" s="41" t="s">
        <v>38</v>
      </c>
      <c r="I38" s="17" t="s">
        <v>58</v>
      </c>
      <c r="J38" s="42">
        <v>-874.9</v>
      </c>
      <c r="K38" s="17">
        <v>45</v>
      </c>
      <c r="L38" s="17">
        <v>55</v>
      </c>
      <c r="M38" s="17">
        <f t="shared" si="3"/>
        <v>100</v>
      </c>
    </row>
    <row r="39" spans="1:13" ht="15.75" customHeight="1" x14ac:dyDescent="0.3">
      <c r="A39" s="43" t="s">
        <v>40</v>
      </c>
      <c r="B39" s="18" t="s">
        <v>58</v>
      </c>
      <c r="C39" s="44">
        <v>264.7</v>
      </c>
      <c r="D39" s="18">
        <v>41</v>
      </c>
      <c r="E39" s="18">
        <v>61</v>
      </c>
      <c r="F39" s="18">
        <f t="shared" si="2"/>
        <v>102</v>
      </c>
      <c r="H39" s="43" t="s">
        <v>40</v>
      </c>
      <c r="I39" s="18" t="s">
        <v>58</v>
      </c>
      <c r="J39" s="44">
        <v>145.69999999999999</v>
      </c>
      <c r="K39" s="18">
        <v>49</v>
      </c>
      <c r="L39" s="18">
        <v>67</v>
      </c>
      <c r="M39" s="18">
        <f t="shared" si="3"/>
        <v>116</v>
      </c>
    </row>
    <row r="40" spans="1:13" ht="15.75" customHeight="1" x14ac:dyDescent="0.3">
      <c r="A40" s="41" t="s">
        <v>42</v>
      </c>
      <c r="B40" s="17" t="s">
        <v>58</v>
      </c>
      <c r="C40" s="44">
        <v>190.95</v>
      </c>
      <c r="D40" s="17">
        <v>43</v>
      </c>
      <c r="E40" s="17">
        <v>58</v>
      </c>
      <c r="F40" s="17">
        <f t="shared" si="2"/>
        <v>101</v>
      </c>
      <c r="H40" s="41" t="s">
        <v>42</v>
      </c>
      <c r="I40" s="17" t="s">
        <v>58</v>
      </c>
      <c r="J40" s="44">
        <v>3388.85</v>
      </c>
      <c r="K40" s="17">
        <v>58</v>
      </c>
      <c r="L40" s="17">
        <v>56</v>
      </c>
      <c r="M40" s="17">
        <f t="shared" si="3"/>
        <v>114</v>
      </c>
    </row>
    <row r="41" spans="1:13" ht="15.75" customHeight="1" x14ac:dyDescent="0.3">
      <c r="A41" s="43" t="s">
        <v>44</v>
      </c>
      <c r="B41" s="18" t="s">
        <v>58</v>
      </c>
      <c r="C41" s="44">
        <v>1307.8</v>
      </c>
      <c r="D41" s="18">
        <v>45</v>
      </c>
      <c r="E41" s="18">
        <v>45</v>
      </c>
      <c r="F41" s="18">
        <f t="shared" si="2"/>
        <v>90</v>
      </c>
      <c r="H41" s="43" t="s">
        <v>44</v>
      </c>
      <c r="I41" s="18" t="s">
        <v>58</v>
      </c>
      <c r="J41" s="44">
        <v>76.95</v>
      </c>
      <c r="K41" s="18">
        <v>44</v>
      </c>
      <c r="L41" s="18">
        <v>57</v>
      </c>
      <c r="M41" s="18">
        <f t="shared" si="3"/>
        <v>101</v>
      </c>
    </row>
    <row r="42" spans="1:13" ht="24" customHeight="1" x14ac:dyDescent="0.3">
      <c r="A42" s="45" t="s">
        <v>59</v>
      </c>
      <c r="B42" s="45"/>
      <c r="C42" s="21">
        <f>SUM(C27:C41)</f>
        <v>-9907.1999999999989</v>
      </c>
      <c r="D42" s="45">
        <f>SUM(D27:D41)</f>
        <v>663</v>
      </c>
      <c r="E42" s="45">
        <f>SUM(E27:E41)</f>
        <v>942</v>
      </c>
      <c r="F42" s="45">
        <f>SUM(F27:F41)</f>
        <v>1605</v>
      </c>
      <c r="H42" s="45" t="s">
        <v>59</v>
      </c>
      <c r="I42" s="45"/>
      <c r="J42" s="21">
        <f>SUM(J27:J41)</f>
        <v>23159.549999999996</v>
      </c>
      <c r="K42" s="45">
        <f>SUM(K27:K41)</f>
        <v>883</v>
      </c>
      <c r="L42" s="45">
        <f>SUM(L27:L41)</f>
        <v>1043</v>
      </c>
      <c r="M42" s="45">
        <f>SUM(M27:M41)</f>
        <v>1926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2">
        <v>-530</v>
      </c>
      <c r="D47" s="17">
        <v>42</v>
      </c>
      <c r="E47" s="17">
        <v>66</v>
      </c>
      <c r="F47" s="17">
        <f t="shared" ref="F47:F61" si="4">SUM(D47,E47)</f>
        <v>108</v>
      </c>
      <c r="H47" s="41" t="s">
        <v>16</v>
      </c>
      <c r="I47" s="17" t="s">
        <v>58</v>
      </c>
      <c r="J47" s="44">
        <v>2023.55</v>
      </c>
      <c r="K47" s="17">
        <v>59</v>
      </c>
      <c r="L47" s="17">
        <v>67</v>
      </c>
      <c r="M47" s="17">
        <f t="shared" ref="M47:M61" si="5">SUM(K47,L47)</f>
        <v>126</v>
      </c>
    </row>
    <row r="48" spans="1:13" ht="15.75" customHeight="1" x14ac:dyDescent="0.3">
      <c r="A48" s="43" t="s">
        <v>18</v>
      </c>
      <c r="B48" s="18" t="s">
        <v>58</v>
      </c>
      <c r="C48" s="42">
        <v>-2501.1</v>
      </c>
      <c r="D48" s="18">
        <v>38</v>
      </c>
      <c r="E48" s="18">
        <v>75</v>
      </c>
      <c r="F48" s="18">
        <f t="shared" si="4"/>
        <v>113</v>
      </c>
      <c r="H48" s="43" t="s">
        <v>18</v>
      </c>
      <c r="I48" s="18" t="s">
        <v>58</v>
      </c>
      <c r="J48" s="44">
        <v>3060.45</v>
      </c>
      <c r="K48" s="18">
        <v>59</v>
      </c>
      <c r="L48" s="18">
        <v>67</v>
      </c>
      <c r="M48" s="18">
        <f t="shared" si="5"/>
        <v>126</v>
      </c>
    </row>
    <row r="49" spans="1:13" ht="15.75" customHeight="1" x14ac:dyDescent="0.3">
      <c r="A49" s="41" t="s">
        <v>20</v>
      </c>
      <c r="B49" s="17" t="s">
        <v>58</v>
      </c>
      <c r="C49" s="44">
        <v>437.95</v>
      </c>
      <c r="D49" s="17">
        <v>50</v>
      </c>
      <c r="E49" s="17">
        <v>65</v>
      </c>
      <c r="F49" s="17">
        <f t="shared" si="4"/>
        <v>115</v>
      </c>
      <c r="H49" s="41" t="s">
        <v>20</v>
      </c>
      <c r="I49" s="17" t="s">
        <v>58</v>
      </c>
      <c r="J49" s="42">
        <v>-2658.3</v>
      </c>
      <c r="K49" s="17">
        <v>54</v>
      </c>
      <c r="L49" s="17">
        <v>96</v>
      </c>
      <c r="M49" s="17">
        <f t="shared" si="5"/>
        <v>150</v>
      </c>
    </row>
    <row r="50" spans="1:13" ht="15.75" customHeight="1" x14ac:dyDescent="0.3">
      <c r="A50" s="43" t="s">
        <v>22</v>
      </c>
      <c r="B50" s="18" t="s">
        <v>58</v>
      </c>
      <c r="C50" s="44">
        <v>481</v>
      </c>
      <c r="D50" s="18">
        <v>49</v>
      </c>
      <c r="E50" s="18">
        <v>67</v>
      </c>
      <c r="F50" s="18">
        <f t="shared" si="4"/>
        <v>116</v>
      </c>
      <c r="H50" s="43" t="s">
        <v>22</v>
      </c>
      <c r="I50" s="18" t="s">
        <v>58</v>
      </c>
      <c r="J50" s="42">
        <v>-1784.1</v>
      </c>
      <c r="K50" s="18">
        <v>61</v>
      </c>
      <c r="L50" s="18">
        <v>93</v>
      </c>
      <c r="M50" s="18">
        <f t="shared" si="5"/>
        <v>154</v>
      </c>
    </row>
    <row r="51" spans="1:13" ht="15.75" customHeight="1" x14ac:dyDescent="0.3">
      <c r="A51" s="41" t="s">
        <v>24</v>
      </c>
      <c r="B51" s="17" t="s">
        <v>58</v>
      </c>
      <c r="C51" s="44">
        <v>1293.55</v>
      </c>
      <c r="D51" s="17">
        <v>53</v>
      </c>
      <c r="E51" s="17">
        <v>61</v>
      </c>
      <c r="F51" s="17">
        <f t="shared" si="4"/>
        <v>114</v>
      </c>
      <c r="H51" s="41" t="s">
        <v>24</v>
      </c>
      <c r="I51" s="17" t="s">
        <v>58</v>
      </c>
      <c r="J51" s="44">
        <v>2700.35</v>
      </c>
      <c r="K51" s="17">
        <v>61</v>
      </c>
      <c r="L51" s="17">
        <v>64</v>
      </c>
      <c r="M51" s="17">
        <f t="shared" si="5"/>
        <v>125</v>
      </c>
    </row>
    <row r="52" spans="1:13" ht="15.75" customHeight="1" x14ac:dyDescent="0.3">
      <c r="A52" s="43" t="s">
        <v>26</v>
      </c>
      <c r="B52" s="18" t="s">
        <v>58</v>
      </c>
      <c r="C52" s="42">
        <v>-588.45000000000005</v>
      </c>
      <c r="D52" s="18">
        <v>35</v>
      </c>
      <c r="E52" s="18">
        <v>42</v>
      </c>
      <c r="F52" s="18">
        <f t="shared" si="4"/>
        <v>77</v>
      </c>
      <c r="H52" s="43" t="s">
        <v>26</v>
      </c>
      <c r="I52" s="18" t="s">
        <v>58</v>
      </c>
      <c r="J52" s="44">
        <v>2076.1999999999998</v>
      </c>
      <c r="K52" s="18">
        <v>46</v>
      </c>
      <c r="L52" s="18">
        <v>38</v>
      </c>
      <c r="M52" s="18">
        <f t="shared" si="5"/>
        <v>84</v>
      </c>
    </row>
    <row r="53" spans="1:13" ht="15.75" customHeight="1" x14ac:dyDescent="0.3">
      <c r="A53" s="41" t="s">
        <v>28</v>
      </c>
      <c r="B53" s="17" t="s">
        <v>58</v>
      </c>
      <c r="C53" s="44">
        <v>1515.95</v>
      </c>
      <c r="D53" s="17">
        <v>53</v>
      </c>
      <c r="E53" s="17">
        <v>72</v>
      </c>
      <c r="F53" s="17">
        <f t="shared" si="4"/>
        <v>125</v>
      </c>
      <c r="H53" s="41" t="s">
        <v>28</v>
      </c>
      <c r="I53" s="17" t="s">
        <v>58</v>
      </c>
      <c r="J53" s="42">
        <v>-2280.9</v>
      </c>
      <c r="K53" s="17">
        <v>56</v>
      </c>
      <c r="L53" s="17">
        <v>95</v>
      </c>
      <c r="M53" s="17">
        <f t="shared" si="5"/>
        <v>151</v>
      </c>
    </row>
    <row r="54" spans="1:13" ht="15.75" customHeight="1" x14ac:dyDescent="0.3">
      <c r="A54" s="43" t="s">
        <v>30</v>
      </c>
      <c r="B54" s="18" t="s">
        <v>58</v>
      </c>
      <c r="C54" s="44">
        <v>6559.65</v>
      </c>
      <c r="D54" s="18">
        <v>62</v>
      </c>
      <c r="E54" s="18">
        <v>59</v>
      </c>
      <c r="F54" s="18">
        <f t="shared" si="4"/>
        <v>121</v>
      </c>
      <c r="H54" s="43" t="s">
        <v>30</v>
      </c>
      <c r="I54" s="18" t="s">
        <v>58</v>
      </c>
      <c r="J54" s="42">
        <v>-5847.75</v>
      </c>
      <c r="K54" s="18">
        <v>50</v>
      </c>
      <c r="L54" s="18">
        <v>108</v>
      </c>
      <c r="M54" s="18">
        <f t="shared" si="5"/>
        <v>158</v>
      </c>
    </row>
    <row r="55" spans="1:13" ht="15.75" customHeight="1" x14ac:dyDescent="0.3">
      <c r="A55" s="41" t="s">
        <v>32</v>
      </c>
      <c r="B55" s="17" t="s">
        <v>58</v>
      </c>
      <c r="C55" s="44">
        <v>4333.1499999999996</v>
      </c>
      <c r="D55" s="17">
        <v>45</v>
      </c>
      <c r="E55" s="17">
        <v>49</v>
      </c>
      <c r="F55" s="17">
        <f t="shared" si="4"/>
        <v>94</v>
      </c>
      <c r="H55" s="41" t="s">
        <v>32</v>
      </c>
      <c r="I55" s="17" t="s">
        <v>58</v>
      </c>
      <c r="J55" s="42">
        <v>-5150.3</v>
      </c>
      <c r="K55" s="17">
        <v>40</v>
      </c>
      <c r="L55" s="17">
        <v>80</v>
      </c>
      <c r="M55" s="17">
        <f t="shared" si="5"/>
        <v>120</v>
      </c>
    </row>
    <row r="56" spans="1:13" ht="15.75" customHeight="1" x14ac:dyDescent="0.3">
      <c r="A56" s="43" t="s">
        <v>34</v>
      </c>
      <c r="B56" s="18" t="s">
        <v>58</v>
      </c>
      <c r="C56" s="44">
        <v>391.79</v>
      </c>
      <c r="D56" s="18">
        <v>45</v>
      </c>
      <c r="E56" s="18">
        <v>62</v>
      </c>
      <c r="F56" s="18">
        <f t="shared" si="4"/>
        <v>107</v>
      </c>
      <c r="H56" s="43" t="s">
        <v>34</v>
      </c>
      <c r="I56" s="18" t="s">
        <v>58</v>
      </c>
      <c r="J56" s="42">
        <v>-528.11</v>
      </c>
      <c r="K56" s="18">
        <v>50</v>
      </c>
      <c r="L56" s="18">
        <v>71</v>
      </c>
      <c r="M56" s="18">
        <f t="shared" si="5"/>
        <v>121</v>
      </c>
    </row>
    <row r="57" spans="1:13" ht="15.75" customHeight="1" x14ac:dyDescent="0.3">
      <c r="A57" s="41" t="s">
        <v>36</v>
      </c>
      <c r="B57" s="17" t="s">
        <v>58</v>
      </c>
      <c r="C57" s="44">
        <v>618.4</v>
      </c>
      <c r="D57" s="17">
        <v>50</v>
      </c>
      <c r="E57" s="17">
        <v>58</v>
      </c>
      <c r="F57" s="17">
        <f t="shared" si="4"/>
        <v>108</v>
      </c>
      <c r="H57" s="41" t="s">
        <v>36</v>
      </c>
      <c r="I57" s="17" t="s">
        <v>58</v>
      </c>
      <c r="J57" s="42">
        <v>-20.3</v>
      </c>
      <c r="K57" s="17">
        <v>52</v>
      </c>
      <c r="L57" s="17">
        <v>73</v>
      </c>
      <c r="M57" s="17">
        <f t="shared" si="5"/>
        <v>125</v>
      </c>
    </row>
    <row r="58" spans="1:13" ht="15.75" customHeight="1" x14ac:dyDescent="0.3">
      <c r="A58" s="43" t="s">
        <v>38</v>
      </c>
      <c r="B58" s="18" t="s">
        <v>58</v>
      </c>
      <c r="C58" s="44">
        <v>934.5</v>
      </c>
      <c r="D58" s="18">
        <v>43</v>
      </c>
      <c r="E58" s="18">
        <v>48</v>
      </c>
      <c r="F58" s="18">
        <f t="shared" si="4"/>
        <v>91</v>
      </c>
      <c r="H58" s="43" t="s">
        <v>38</v>
      </c>
      <c r="I58" s="18" t="s">
        <v>58</v>
      </c>
      <c r="J58" s="42">
        <v>-1610.55</v>
      </c>
      <c r="K58" s="18">
        <v>47</v>
      </c>
      <c r="L58" s="18">
        <v>64</v>
      </c>
      <c r="M58" s="18">
        <f t="shared" si="5"/>
        <v>111</v>
      </c>
    </row>
    <row r="59" spans="1:13" ht="15.75" customHeight="1" x14ac:dyDescent="0.3">
      <c r="A59" s="41" t="s">
        <v>40</v>
      </c>
      <c r="B59" s="17" t="s">
        <v>58</v>
      </c>
      <c r="C59" s="44">
        <v>2116.9499999999998</v>
      </c>
      <c r="D59" s="17">
        <v>47</v>
      </c>
      <c r="E59" s="17">
        <v>51</v>
      </c>
      <c r="F59" s="17">
        <f t="shared" si="4"/>
        <v>98</v>
      </c>
      <c r="H59" s="41" t="s">
        <v>40</v>
      </c>
      <c r="I59" s="17" t="s">
        <v>58</v>
      </c>
      <c r="J59" s="42">
        <v>-2406.3000000000002</v>
      </c>
      <c r="K59" s="17">
        <v>52</v>
      </c>
      <c r="L59" s="17">
        <v>78</v>
      </c>
      <c r="M59" s="17">
        <f t="shared" si="5"/>
        <v>130</v>
      </c>
    </row>
    <row r="60" spans="1:13" ht="15.75" customHeight="1" x14ac:dyDescent="0.3">
      <c r="A60" s="43" t="s">
        <v>42</v>
      </c>
      <c r="B60" s="18" t="s">
        <v>58</v>
      </c>
      <c r="C60" s="44">
        <v>2717.9</v>
      </c>
      <c r="D60" s="18">
        <v>52</v>
      </c>
      <c r="E60" s="18">
        <v>48</v>
      </c>
      <c r="F60" s="18">
        <f t="shared" si="4"/>
        <v>100</v>
      </c>
      <c r="H60" s="43" t="s">
        <v>42</v>
      </c>
      <c r="I60" s="18" t="s">
        <v>58</v>
      </c>
      <c r="J60" s="42">
        <v>-5047.95</v>
      </c>
      <c r="K60" s="18">
        <v>47</v>
      </c>
      <c r="L60" s="18">
        <v>81</v>
      </c>
      <c r="M60" s="18">
        <f t="shared" si="5"/>
        <v>128</v>
      </c>
    </row>
    <row r="61" spans="1:13" ht="15.75" customHeight="1" x14ac:dyDescent="0.3">
      <c r="A61" s="41" t="s">
        <v>44</v>
      </c>
      <c r="B61" s="17" t="s">
        <v>58</v>
      </c>
      <c r="C61" s="42">
        <v>-281.85000000000002</v>
      </c>
      <c r="D61" s="17">
        <v>39</v>
      </c>
      <c r="E61" s="17">
        <v>50</v>
      </c>
      <c r="F61" s="17">
        <f t="shared" si="4"/>
        <v>89</v>
      </c>
      <c r="H61" s="41" t="s">
        <v>44</v>
      </c>
      <c r="I61" s="17" t="s">
        <v>58</v>
      </c>
      <c r="J61" s="42">
        <v>-521.95000000000005</v>
      </c>
      <c r="K61" s="17">
        <v>46</v>
      </c>
      <c r="L61" s="17">
        <v>53</v>
      </c>
      <c r="M61" s="17">
        <f t="shared" si="5"/>
        <v>99</v>
      </c>
    </row>
    <row r="62" spans="1:13" ht="24" customHeight="1" x14ac:dyDescent="0.3">
      <c r="A62" s="45" t="s">
        <v>59</v>
      </c>
      <c r="B62" s="45"/>
      <c r="C62" s="21">
        <f>SUM(C47:C61)</f>
        <v>17499.390000000003</v>
      </c>
      <c r="D62" s="45">
        <f>SUM(D47:D61)</f>
        <v>703</v>
      </c>
      <c r="E62" s="45">
        <f>SUM(E47:E61)</f>
        <v>873</v>
      </c>
      <c r="F62" s="45">
        <f>SUM(F47:F61)</f>
        <v>1576</v>
      </c>
      <c r="H62" s="45" t="s">
        <v>59</v>
      </c>
      <c r="I62" s="45"/>
      <c r="J62" s="23">
        <f>SUM(J47:J61)</f>
        <v>-17995.960000000003</v>
      </c>
      <c r="K62" s="45">
        <f>SUM(K47:K61)</f>
        <v>780</v>
      </c>
      <c r="L62" s="45">
        <f>SUM(L47:L61)</f>
        <v>1128</v>
      </c>
      <c r="M62" s="45">
        <f>SUM(M47:M61)</f>
        <v>1908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3633.85</v>
      </c>
      <c r="D67" s="18">
        <v>52</v>
      </c>
      <c r="E67" s="18">
        <v>61</v>
      </c>
      <c r="F67" s="18">
        <f t="shared" ref="F67:F81" si="6">SUM(D67,E67)</f>
        <v>113</v>
      </c>
      <c r="H67" s="43" t="s">
        <v>16</v>
      </c>
      <c r="I67" s="18" t="s">
        <v>58</v>
      </c>
      <c r="J67" s="42">
        <v>-1997.45</v>
      </c>
      <c r="K67" s="18">
        <v>49</v>
      </c>
      <c r="L67" s="18">
        <v>82</v>
      </c>
      <c r="M67" s="18">
        <f t="shared" ref="M67:M81" si="7">SUM(K67,L67)</f>
        <v>131</v>
      </c>
    </row>
    <row r="68" spans="1:13" ht="15.75" customHeight="1" x14ac:dyDescent="0.3">
      <c r="A68" s="41" t="s">
        <v>18</v>
      </c>
      <c r="B68" s="17" t="s">
        <v>58</v>
      </c>
      <c r="C68" s="42">
        <v>-1085.6500000000001</v>
      </c>
      <c r="D68" s="17">
        <v>45</v>
      </c>
      <c r="E68" s="17">
        <v>77</v>
      </c>
      <c r="F68" s="17">
        <f t="shared" si="6"/>
        <v>122</v>
      </c>
      <c r="H68" s="41" t="s">
        <v>18</v>
      </c>
      <c r="I68" s="17" t="s">
        <v>58</v>
      </c>
      <c r="J68" s="44">
        <v>4796.8</v>
      </c>
      <c r="K68" s="17">
        <v>74</v>
      </c>
      <c r="L68" s="17">
        <v>80</v>
      </c>
      <c r="M68" s="17">
        <f t="shared" si="7"/>
        <v>154</v>
      </c>
    </row>
    <row r="69" spans="1:13" ht="15.75" customHeight="1" x14ac:dyDescent="0.3">
      <c r="A69" s="43" t="s">
        <v>20</v>
      </c>
      <c r="B69" s="18" t="s">
        <v>58</v>
      </c>
      <c r="C69" s="42">
        <v>-630.70000000000005</v>
      </c>
      <c r="D69" s="18">
        <v>43</v>
      </c>
      <c r="E69" s="18">
        <v>74</v>
      </c>
      <c r="F69" s="18">
        <f t="shared" si="6"/>
        <v>117</v>
      </c>
      <c r="H69" s="43" t="s">
        <v>20</v>
      </c>
      <c r="I69" s="18" t="s">
        <v>58</v>
      </c>
      <c r="J69" s="44">
        <v>3753.35</v>
      </c>
      <c r="K69" s="18">
        <v>71</v>
      </c>
      <c r="L69" s="18">
        <v>92</v>
      </c>
      <c r="M69" s="18">
        <f t="shared" si="7"/>
        <v>163</v>
      </c>
    </row>
    <row r="70" spans="1:13" ht="15.75" customHeight="1" x14ac:dyDescent="0.3">
      <c r="A70" s="41" t="s">
        <v>22</v>
      </c>
      <c r="B70" s="17" t="s">
        <v>58</v>
      </c>
      <c r="C70" s="44">
        <v>206.9</v>
      </c>
      <c r="D70" s="17">
        <v>59</v>
      </c>
      <c r="E70" s="17">
        <v>87</v>
      </c>
      <c r="F70" s="17">
        <f t="shared" si="6"/>
        <v>146</v>
      </c>
      <c r="H70" s="41" t="s">
        <v>22</v>
      </c>
      <c r="I70" s="17" t="s">
        <v>58</v>
      </c>
      <c r="J70" s="44">
        <v>2315.0500000000002</v>
      </c>
      <c r="K70" s="17">
        <v>75</v>
      </c>
      <c r="L70" s="17">
        <v>112</v>
      </c>
      <c r="M70" s="17">
        <f t="shared" si="7"/>
        <v>187</v>
      </c>
    </row>
    <row r="71" spans="1:13" ht="15.75" customHeight="1" x14ac:dyDescent="0.3">
      <c r="A71" s="43" t="s">
        <v>24</v>
      </c>
      <c r="B71" s="18" t="s">
        <v>58</v>
      </c>
      <c r="C71" s="44">
        <v>856.8</v>
      </c>
      <c r="D71" s="18">
        <v>58</v>
      </c>
      <c r="E71" s="18">
        <v>81</v>
      </c>
      <c r="F71" s="18">
        <f t="shared" si="6"/>
        <v>139</v>
      </c>
      <c r="H71" s="43" t="s">
        <v>24</v>
      </c>
      <c r="I71" s="18" t="s">
        <v>58</v>
      </c>
      <c r="J71" s="42">
        <v>-1735.55</v>
      </c>
      <c r="K71" s="18">
        <v>69</v>
      </c>
      <c r="L71" s="18">
        <v>121</v>
      </c>
      <c r="M71" s="18">
        <f t="shared" si="7"/>
        <v>190</v>
      </c>
    </row>
    <row r="72" spans="1:13" ht="15.75" customHeight="1" x14ac:dyDescent="0.3">
      <c r="A72" s="41" t="s">
        <v>26</v>
      </c>
      <c r="B72" s="17" t="s">
        <v>58</v>
      </c>
      <c r="C72" s="42">
        <v>-1931.4</v>
      </c>
      <c r="D72" s="17">
        <v>42</v>
      </c>
      <c r="E72" s="17">
        <v>66</v>
      </c>
      <c r="F72" s="17">
        <f t="shared" si="6"/>
        <v>108</v>
      </c>
      <c r="H72" s="41" t="s">
        <v>26</v>
      </c>
      <c r="I72" s="17" t="s">
        <v>58</v>
      </c>
      <c r="J72" s="44">
        <v>3230.8</v>
      </c>
      <c r="K72" s="17">
        <v>58</v>
      </c>
      <c r="L72" s="17">
        <v>65</v>
      </c>
      <c r="M72" s="17">
        <f t="shared" si="7"/>
        <v>123</v>
      </c>
    </row>
    <row r="73" spans="1:13" ht="15.75" customHeight="1" x14ac:dyDescent="0.3">
      <c r="A73" s="43" t="s">
        <v>28</v>
      </c>
      <c r="B73" s="18" t="s">
        <v>58</v>
      </c>
      <c r="C73" s="42">
        <v>-924.05</v>
      </c>
      <c r="D73" s="18">
        <v>53</v>
      </c>
      <c r="E73" s="18">
        <v>97</v>
      </c>
      <c r="F73" s="18">
        <f t="shared" si="6"/>
        <v>150</v>
      </c>
      <c r="H73" s="43" t="s">
        <v>28</v>
      </c>
      <c r="I73" s="18" t="s">
        <v>58</v>
      </c>
      <c r="J73" s="44">
        <v>5131.6499999999996</v>
      </c>
      <c r="K73" s="18">
        <v>72</v>
      </c>
      <c r="L73" s="18">
        <v>90</v>
      </c>
      <c r="M73" s="18">
        <f t="shared" si="7"/>
        <v>162</v>
      </c>
    </row>
    <row r="74" spans="1:13" ht="15.75" customHeight="1" x14ac:dyDescent="0.3">
      <c r="A74" s="41" t="s">
        <v>30</v>
      </c>
      <c r="B74" s="17" t="s">
        <v>58</v>
      </c>
      <c r="C74" s="42">
        <v>-2428.9499999999998</v>
      </c>
      <c r="D74" s="17">
        <v>41</v>
      </c>
      <c r="E74" s="17">
        <v>85</v>
      </c>
      <c r="F74" s="17">
        <f t="shared" si="6"/>
        <v>126</v>
      </c>
      <c r="H74" s="41" t="s">
        <v>30</v>
      </c>
      <c r="I74" s="17" t="s">
        <v>58</v>
      </c>
      <c r="J74" s="44">
        <v>7056.35</v>
      </c>
      <c r="K74" s="17">
        <v>78</v>
      </c>
      <c r="L74" s="17">
        <v>86</v>
      </c>
      <c r="M74" s="17">
        <f t="shared" si="7"/>
        <v>164</v>
      </c>
    </row>
    <row r="75" spans="1:13" ht="15.75" customHeight="1" x14ac:dyDescent="0.3">
      <c r="A75" s="43" t="s">
        <v>32</v>
      </c>
      <c r="B75" s="18" t="s">
        <v>58</v>
      </c>
      <c r="C75" s="44">
        <v>1418.6</v>
      </c>
      <c r="D75" s="18">
        <v>48</v>
      </c>
      <c r="E75" s="18">
        <v>75</v>
      </c>
      <c r="F75" s="18">
        <f t="shared" si="6"/>
        <v>123</v>
      </c>
      <c r="H75" s="43" t="s">
        <v>32</v>
      </c>
      <c r="I75" s="18" t="s">
        <v>58</v>
      </c>
      <c r="J75" s="42">
        <v>-4005.05</v>
      </c>
      <c r="K75" s="18">
        <v>50</v>
      </c>
      <c r="L75" s="18">
        <v>95</v>
      </c>
      <c r="M75" s="18">
        <f t="shared" si="7"/>
        <v>145</v>
      </c>
    </row>
    <row r="76" spans="1:13" ht="15.75" customHeight="1" x14ac:dyDescent="0.3">
      <c r="A76" s="41" t="s">
        <v>34</v>
      </c>
      <c r="B76" s="17" t="s">
        <v>58</v>
      </c>
      <c r="C76" s="42">
        <v>-3325.1</v>
      </c>
      <c r="D76" s="17">
        <v>51</v>
      </c>
      <c r="E76" s="17">
        <v>79</v>
      </c>
      <c r="F76" s="17">
        <f t="shared" si="6"/>
        <v>130</v>
      </c>
      <c r="H76" s="41" t="s">
        <v>34</v>
      </c>
      <c r="I76" s="17" t="s">
        <v>58</v>
      </c>
      <c r="J76" s="44">
        <v>514.04999999999995</v>
      </c>
      <c r="K76" s="17">
        <v>65</v>
      </c>
      <c r="L76" s="17">
        <v>100</v>
      </c>
      <c r="M76" s="17">
        <f t="shared" si="7"/>
        <v>165</v>
      </c>
    </row>
    <row r="77" spans="1:13" ht="15.75" customHeight="1" x14ac:dyDescent="0.3">
      <c r="A77" s="43" t="s">
        <v>36</v>
      </c>
      <c r="B77" s="18" t="s">
        <v>58</v>
      </c>
      <c r="C77" s="42">
        <v>-1902.3</v>
      </c>
      <c r="D77" s="18">
        <v>45</v>
      </c>
      <c r="E77" s="18">
        <v>79</v>
      </c>
      <c r="F77" s="18">
        <f t="shared" si="6"/>
        <v>124</v>
      </c>
      <c r="H77" s="43" t="s">
        <v>36</v>
      </c>
      <c r="I77" s="18" t="s">
        <v>58</v>
      </c>
      <c r="J77" s="44">
        <v>3316.45</v>
      </c>
      <c r="K77" s="18">
        <v>73</v>
      </c>
      <c r="L77" s="18">
        <v>88</v>
      </c>
      <c r="M77" s="18">
        <f t="shared" si="7"/>
        <v>161</v>
      </c>
    </row>
    <row r="78" spans="1:13" ht="15.75" customHeight="1" x14ac:dyDescent="0.3">
      <c r="A78" s="41" t="s">
        <v>38</v>
      </c>
      <c r="B78" s="17" t="s">
        <v>58</v>
      </c>
      <c r="C78" s="44">
        <v>3441.75</v>
      </c>
      <c r="D78" s="17">
        <v>60</v>
      </c>
      <c r="E78" s="17">
        <v>64</v>
      </c>
      <c r="F78" s="17">
        <f t="shared" si="6"/>
        <v>124</v>
      </c>
      <c r="H78" s="41" t="s">
        <v>38</v>
      </c>
      <c r="I78" s="17" t="s">
        <v>58</v>
      </c>
      <c r="J78" s="44">
        <v>69.2</v>
      </c>
      <c r="K78" s="17">
        <v>60</v>
      </c>
      <c r="L78" s="17">
        <v>92</v>
      </c>
      <c r="M78" s="17">
        <f t="shared" si="7"/>
        <v>152</v>
      </c>
    </row>
    <row r="79" spans="1:13" ht="15.75" customHeight="1" x14ac:dyDescent="0.3">
      <c r="A79" s="43" t="s">
        <v>40</v>
      </c>
      <c r="B79" s="18" t="s">
        <v>58</v>
      </c>
      <c r="C79" s="42">
        <v>-1769.45</v>
      </c>
      <c r="D79" s="18">
        <v>46</v>
      </c>
      <c r="E79" s="18">
        <v>71</v>
      </c>
      <c r="F79" s="18">
        <f t="shared" si="6"/>
        <v>117</v>
      </c>
      <c r="H79" s="43" t="s">
        <v>40</v>
      </c>
      <c r="I79" s="18" t="s">
        <v>58</v>
      </c>
      <c r="J79" s="44">
        <v>1605.45</v>
      </c>
      <c r="K79" s="18">
        <v>61</v>
      </c>
      <c r="L79" s="18">
        <v>76</v>
      </c>
      <c r="M79" s="18">
        <f t="shared" si="7"/>
        <v>137</v>
      </c>
    </row>
    <row r="80" spans="1:13" ht="15.75" customHeight="1" x14ac:dyDescent="0.3">
      <c r="A80" s="41" t="s">
        <v>42</v>
      </c>
      <c r="B80" s="17" t="s">
        <v>58</v>
      </c>
      <c r="C80" s="44">
        <v>762.2</v>
      </c>
      <c r="D80" s="17">
        <v>49</v>
      </c>
      <c r="E80" s="17">
        <v>66</v>
      </c>
      <c r="F80" s="17">
        <f t="shared" si="6"/>
        <v>115</v>
      </c>
      <c r="H80" s="41" t="s">
        <v>42</v>
      </c>
      <c r="I80" s="17" t="s">
        <v>58</v>
      </c>
      <c r="J80" s="44">
        <v>2613.65</v>
      </c>
      <c r="K80" s="17">
        <v>64</v>
      </c>
      <c r="L80" s="17">
        <v>86</v>
      </c>
      <c r="M80" s="17">
        <f t="shared" si="7"/>
        <v>150</v>
      </c>
    </row>
    <row r="81" spans="1:13" ht="15.75" customHeight="1" x14ac:dyDescent="0.3">
      <c r="A81" s="43" t="s">
        <v>44</v>
      </c>
      <c r="B81" s="18" t="s">
        <v>58</v>
      </c>
      <c r="C81" s="42">
        <v>-1018.75</v>
      </c>
      <c r="D81" s="18">
        <v>39</v>
      </c>
      <c r="E81" s="18">
        <v>60</v>
      </c>
      <c r="F81" s="18">
        <f t="shared" si="6"/>
        <v>99</v>
      </c>
      <c r="H81" s="43" t="s">
        <v>44</v>
      </c>
      <c r="I81" s="18" t="s">
        <v>58</v>
      </c>
      <c r="J81" s="42">
        <v>-560.75</v>
      </c>
      <c r="K81" s="18">
        <v>53</v>
      </c>
      <c r="L81" s="18">
        <v>83</v>
      </c>
      <c r="M81" s="18">
        <f t="shared" si="7"/>
        <v>136</v>
      </c>
    </row>
    <row r="82" spans="1:13" ht="24" customHeight="1" x14ac:dyDescent="0.3">
      <c r="A82" s="45" t="s">
        <v>59</v>
      </c>
      <c r="B82" s="45"/>
      <c r="C82" s="23">
        <f>SUM(C67:C81)</f>
        <v>-4696.25</v>
      </c>
      <c r="D82" s="45">
        <f>SUM(D67:D81)</f>
        <v>731</v>
      </c>
      <c r="E82" s="45">
        <f>SUM(E67:E81)</f>
        <v>1122</v>
      </c>
      <c r="F82" s="45">
        <f>SUM(F67:F81)</f>
        <v>1853</v>
      </c>
      <c r="H82" s="45" t="s">
        <v>59</v>
      </c>
      <c r="I82" s="45"/>
      <c r="J82" s="21">
        <f>SUM(J67:J81)</f>
        <v>26104.000000000004</v>
      </c>
      <c r="K82" s="45">
        <f>SUM(K67:K81)</f>
        <v>972</v>
      </c>
      <c r="L82" s="45">
        <f>SUM(L67:L81)</f>
        <v>1348</v>
      </c>
      <c r="M82" s="45">
        <f>SUM(M67:M81)</f>
        <v>2320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24400.959999999999</v>
      </c>
      <c r="E86" s="28">
        <f>SUM(D82,D62,D42,D22)</f>
        <v>2877</v>
      </c>
      <c r="F86" s="28">
        <f>SUM(E82,E62,E42,E22)</f>
        <v>3919</v>
      </c>
      <c r="G86" s="28">
        <f>SUM(E86:F86)</f>
        <v>6796</v>
      </c>
      <c r="H86" s="29">
        <f>E86/G86</f>
        <v>0.42333725721012361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-17448.860000000011</v>
      </c>
      <c r="E87" s="33">
        <f>SUM(K82,K62,K42,K22)</f>
        <v>3473</v>
      </c>
      <c r="F87" s="33">
        <f>SUM(L82,L62,L42,L22)</f>
        <v>4972</v>
      </c>
      <c r="G87" s="33">
        <f>SUM(E87:F87)</f>
        <v>8445</v>
      </c>
      <c r="H87" s="34">
        <f>E87/G87</f>
        <v>0.4112492599171107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6952.0999999999876</v>
      </c>
      <c r="E88" s="6">
        <f>SUM(E86:E87)</f>
        <v>6350</v>
      </c>
      <c r="F88" s="6">
        <f>SUM(F86:F87)</f>
        <v>8891</v>
      </c>
      <c r="G88" s="6">
        <f>SUM(G86:G87)</f>
        <v>15241</v>
      </c>
      <c r="H88" s="37">
        <f>AVERAGE(H86,H87)</f>
        <v>0.41729325856361715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M90"/>
  <sheetViews>
    <sheetView showGridLines="0"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" customWidth="1"/>
    <col min="4" max="4" width="8" customWidth="1"/>
    <col min="5" max="5" width="7" customWidth="1"/>
    <col min="6" max="6" width="11" customWidth="1"/>
    <col min="7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4">
        <v>1755.85</v>
      </c>
      <c r="D7" s="17">
        <v>28</v>
      </c>
      <c r="E7" s="17">
        <v>38</v>
      </c>
      <c r="F7" s="17">
        <f t="shared" ref="F7:F21" si="0">SUM(D7,E7)</f>
        <v>66</v>
      </c>
      <c r="H7" s="41" t="s">
        <v>16</v>
      </c>
      <c r="I7" s="17" t="s">
        <v>58</v>
      </c>
      <c r="J7" s="44">
        <v>751.3</v>
      </c>
      <c r="K7" s="17">
        <v>32</v>
      </c>
      <c r="L7" s="17">
        <v>42</v>
      </c>
      <c r="M7" s="17">
        <f t="shared" ref="M7:M21" si="1">SUM(K7,L7)</f>
        <v>74</v>
      </c>
    </row>
    <row r="8" spans="1:13" ht="15.75" customHeight="1" x14ac:dyDescent="0.3">
      <c r="A8" s="43" t="s">
        <v>18</v>
      </c>
      <c r="B8" s="18" t="s">
        <v>58</v>
      </c>
      <c r="C8" s="44">
        <v>1732.7</v>
      </c>
      <c r="D8" s="18">
        <v>36</v>
      </c>
      <c r="E8" s="18">
        <v>46</v>
      </c>
      <c r="F8" s="18">
        <f t="shared" si="0"/>
        <v>82</v>
      </c>
      <c r="H8" s="43" t="s">
        <v>18</v>
      </c>
      <c r="I8" s="18" t="s">
        <v>58</v>
      </c>
      <c r="J8" s="42">
        <v>-3541.55</v>
      </c>
      <c r="K8" s="18">
        <v>22</v>
      </c>
      <c r="L8" s="18">
        <v>52</v>
      </c>
      <c r="M8" s="18">
        <f t="shared" si="1"/>
        <v>74</v>
      </c>
    </row>
    <row r="9" spans="1:13" ht="15.75" customHeight="1" x14ac:dyDescent="0.3">
      <c r="A9" s="41" t="s">
        <v>20</v>
      </c>
      <c r="B9" s="17" t="s">
        <v>58</v>
      </c>
      <c r="C9" s="44">
        <v>1459.55</v>
      </c>
      <c r="D9" s="17">
        <v>36</v>
      </c>
      <c r="E9" s="17">
        <v>49</v>
      </c>
      <c r="F9" s="17">
        <f t="shared" si="0"/>
        <v>85</v>
      </c>
      <c r="H9" s="41" t="s">
        <v>20</v>
      </c>
      <c r="I9" s="17" t="s">
        <v>58</v>
      </c>
      <c r="J9" s="44">
        <v>619.29999999999995</v>
      </c>
      <c r="K9" s="17">
        <v>28</v>
      </c>
      <c r="L9" s="17">
        <v>46</v>
      </c>
      <c r="M9" s="17">
        <f t="shared" si="1"/>
        <v>74</v>
      </c>
    </row>
    <row r="10" spans="1:13" ht="15.75" customHeight="1" x14ac:dyDescent="0.3">
      <c r="A10" s="43" t="s">
        <v>22</v>
      </c>
      <c r="B10" s="18" t="s">
        <v>58</v>
      </c>
      <c r="C10" s="44">
        <v>2751.4</v>
      </c>
      <c r="D10" s="18">
        <v>40</v>
      </c>
      <c r="E10" s="18">
        <v>46</v>
      </c>
      <c r="F10" s="18">
        <f t="shared" si="0"/>
        <v>86</v>
      </c>
      <c r="H10" s="43" t="s">
        <v>22</v>
      </c>
      <c r="I10" s="18" t="s">
        <v>58</v>
      </c>
      <c r="J10" s="42">
        <v>-203.75</v>
      </c>
      <c r="K10" s="18">
        <v>36</v>
      </c>
      <c r="L10" s="18">
        <v>44</v>
      </c>
      <c r="M10" s="18">
        <f t="shared" si="1"/>
        <v>80</v>
      </c>
    </row>
    <row r="11" spans="1:13" ht="15.75" customHeight="1" x14ac:dyDescent="0.3">
      <c r="A11" s="41" t="s">
        <v>24</v>
      </c>
      <c r="B11" s="17" t="s">
        <v>58</v>
      </c>
      <c r="C11" s="42">
        <v>-1127.4100000000001</v>
      </c>
      <c r="D11" s="17">
        <v>31</v>
      </c>
      <c r="E11" s="17">
        <v>45</v>
      </c>
      <c r="F11" s="17">
        <f t="shared" si="0"/>
        <v>76</v>
      </c>
      <c r="H11" s="41" t="s">
        <v>24</v>
      </c>
      <c r="I11" s="17" t="s">
        <v>58</v>
      </c>
      <c r="J11" s="42">
        <v>-1306.06</v>
      </c>
      <c r="K11" s="17">
        <v>27</v>
      </c>
      <c r="L11" s="17">
        <v>38</v>
      </c>
      <c r="M11" s="17">
        <f t="shared" si="1"/>
        <v>65</v>
      </c>
    </row>
    <row r="12" spans="1:13" ht="15.75" customHeight="1" x14ac:dyDescent="0.3">
      <c r="A12" s="43" t="s">
        <v>26</v>
      </c>
      <c r="B12" s="18" t="s">
        <v>58</v>
      </c>
      <c r="C12" s="44">
        <v>1621.6</v>
      </c>
      <c r="D12" s="18">
        <v>32</v>
      </c>
      <c r="E12" s="18">
        <v>36</v>
      </c>
      <c r="F12" s="18">
        <f t="shared" si="0"/>
        <v>68</v>
      </c>
      <c r="H12" s="43" t="s">
        <v>26</v>
      </c>
      <c r="I12" s="18" t="s">
        <v>58</v>
      </c>
      <c r="J12" s="44">
        <v>3024.45</v>
      </c>
      <c r="K12" s="18">
        <v>35</v>
      </c>
      <c r="L12" s="18">
        <v>34</v>
      </c>
      <c r="M12" s="18">
        <f t="shared" si="1"/>
        <v>69</v>
      </c>
    </row>
    <row r="13" spans="1:13" ht="15.75" customHeight="1" x14ac:dyDescent="0.3">
      <c r="A13" s="41" t="s">
        <v>28</v>
      </c>
      <c r="B13" s="17" t="s">
        <v>58</v>
      </c>
      <c r="C13" s="42">
        <v>-668.9</v>
      </c>
      <c r="D13" s="17">
        <v>35</v>
      </c>
      <c r="E13" s="17">
        <v>48</v>
      </c>
      <c r="F13" s="17">
        <f t="shared" si="0"/>
        <v>83</v>
      </c>
      <c r="H13" s="41" t="s">
        <v>28</v>
      </c>
      <c r="I13" s="17" t="s">
        <v>58</v>
      </c>
      <c r="J13" s="42">
        <v>-2832.1</v>
      </c>
      <c r="K13" s="17">
        <v>18</v>
      </c>
      <c r="L13" s="17">
        <v>49</v>
      </c>
      <c r="M13" s="17">
        <f t="shared" si="1"/>
        <v>67</v>
      </c>
    </row>
    <row r="14" spans="1:13" ht="15.75" customHeight="1" x14ac:dyDescent="0.3">
      <c r="A14" s="43" t="s">
        <v>30</v>
      </c>
      <c r="B14" s="18" t="s">
        <v>58</v>
      </c>
      <c r="C14" s="42">
        <v>-1200.05</v>
      </c>
      <c r="D14" s="18">
        <v>29</v>
      </c>
      <c r="E14" s="18">
        <v>37</v>
      </c>
      <c r="F14" s="18">
        <f t="shared" si="0"/>
        <v>66</v>
      </c>
      <c r="H14" s="43" t="s">
        <v>30</v>
      </c>
      <c r="I14" s="18" t="s">
        <v>58</v>
      </c>
      <c r="J14" s="44">
        <v>289.5</v>
      </c>
      <c r="K14" s="18">
        <v>29</v>
      </c>
      <c r="L14" s="18">
        <v>44</v>
      </c>
      <c r="M14" s="18">
        <f t="shared" si="1"/>
        <v>73</v>
      </c>
    </row>
    <row r="15" spans="1:13" ht="15.75" customHeight="1" x14ac:dyDescent="0.3">
      <c r="A15" s="41" t="s">
        <v>32</v>
      </c>
      <c r="B15" s="17" t="s">
        <v>58</v>
      </c>
      <c r="C15" s="44">
        <v>2167.5</v>
      </c>
      <c r="D15" s="17">
        <v>34</v>
      </c>
      <c r="E15" s="17">
        <v>41</v>
      </c>
      <c r="F15" s="17">
        <f t="shared" si="0"/>
        <v>75</v>
      </c>
      <c r="H15" s="41" t="s">
        <v>32</v>
      </c>
      <c r="I15" s="17" t="s">
        <v>58</v>
      </c>
      <c r="J15" s="42">
        <v>-2212.25</v>
      </c>
      <c r="K15" s="17">
        <v>21</v>
      </c>
      <c r="L15" s="17">
        <v>43</v>
      </c>
      <c r="M15" s="17">
        <f t="shared" si="1"/>
        <v>64</v>
      </c>
    </row>
    <row r="16" spans="1:13" ht="15.75" customHeight="1" x14ac:dyDescent="0.3">
      <c r="A16" s="43" t="s">
        <v>34</v>
      </c>
      <c r="B16" s="18" t="s">
        <v>58</v>
      </c>
      <c r="C16" s="44">
        <v>3268.17</v>
      </c>
      <c r="D16" s="18">
        <v>41</v>
      </c>
      <c r="E16" s="18">
        <v>46</v>
      </c>
      <c r="F16" s="18">
        <f t="shared" si="0"/>
        <v>87</v>
      </c>
      <c r="H16" s="43" t="s">
        <v>34</v>
      </c>
      <c r="I16" s="18" t="s">
        <v>58</v>
      </c>
      <c r="J16" s="42">
        <v>-888.8</v>
      </c>
      <c r="K16" s="18">
        <v>24</v>
      </c>
      <c r="L16" s="18">
        <v>37</v>
      </c>
      <c r="M16" s="18">
        <f t="shared" si="1"/>
        <v>61</v>
      </c>
    </row>
    <row r="17" spans="1:13" ht="15.75" customHeight="1" x14ac:dyDescent="0.3">
      <c r="A17" s="41" t="s">
        <v>36</v>
      </c>
      <c r="B17" s="17" t="s">
        <v>58</v>
      </c>
      <c r="C17" s="44">
        <v>1286.28</v>
      </c>
      <c r="D17" s="17">
        <v>33</v>
      </c>
      <c r="E17" s="17">
        <v>48</v>
      </c>
      <c r="F17" s="17">
        <f t="shared" si="0"/>
        <v>81</v>
      </c>
      <c r="H17" s="41" t="s">
        <v>36</v>
      </c>
      <c r="I17" s="17" t="s">
        <v>58</v>
      </c>
      <c r="J17" s="42">
        <v>-2066.4699999999998</v>
      </c>
      <c r="K17" s="17">
        <v>28</v>
      </c>
      <c r="L17" s="17">
        <v>46</v>
      </c>
      <c r="M17" s="17">
        <f t="shared" si="1"/>
        <v>74</v>
      </c>
    </row>
    <row r="18" spans="1:13" ht="15.75" customHeight="1" x14ac:dyDescent="0.3">
      <c r="A18" s="43" t="s">
        <v>38</v>
      </c>
      <c r="B18" s="18" t="s">
        <v>58</v>
      </c>
      <c r="C18" s="44">
        <v>2877.35</v>
      </c>
      <c r="D18" s="18">
        <v>39</v>
      </c>
      <c r="E18" s="18">
        <v>39</v>
      </c>
      <c r="F18" s="18">
        <f t="shared" si="0"/>
        <v>78</v>
      </c>
      <c r="H18" s="43" t="s">
        <v>38</v>
      </c>
      <c r="I18" s="18" t="s">
        <v>58</v>
      </c>
      <c r="J18" s="42">
        <v>-103.55</v>
      </c>
      <c r="K18" s="18">
        <v>28</v>
      </c>
      <c r="L18" s="18">
        <v>39</v>
      </c>
      <c r="M18" s="18">
        <f t="shared" si="1"/>
        <v>67</v>
      </c>
    </row>
    <row r="19" spans="1:13" ht="15.75" customHeight="1" x14ac:dyDescent="0.3">
      <c r="A19" s="41" t="s">
        <v>40</v>
      </c>
      <c r="B19" s="17" t="s">
        <v>58</v>
      </c>
      <c r="C19" s="44">
        <v>2455.4</v>
      </c>
      <c r="D19" s="17">
        <v>36</v>
      </c>
      <c r="E19" s="17">
        <v>40</v>
      </c>
      <c r="F19" s="17">
        <f t="shared" si="0"/>
        <v>76</v>
      </c>
      <c r="H19" s="41" t="s">
        <v>40</v>
      </c>
      <c r="I19" s="17" t="s">
        <v>58</v>
      </c>
      <c r="J19" s="44">
        <v>198.95</v>
      </c>
      <c r="K19" s="17">
        <v>30</v>
      </c>
      <c r="L19" s="17">
        <v>38</v>
      </c>
      <c r="M19" s="17">
        <f t="shared" si="1"/>
        <v>68</v>
      </c>
    </row>
    <row r="20" spans="1:13" ht="15.75" customHeight="1" x14ac:dyDescent="0.3">
      <c r="A20" s="43" t="s">
        <v>42</v>
      </c>
      <c r="B20" s="18" t="s">
        <v>58</v>
      </c>
      <c r="C20" s="44">
        <v>1057.3499999999999</v>
      </c>
      <c r="D20" s="18">
        <v>34</v>
      </c>
      <c r="E20" s="18">
        <v>42</v>
      </c>
      <c r="F20" s="18">
        <f t="shared" si="0"/>
        <v>76</v>
      </c>
      <c r="H20" s="43" t="s">
        <v>42</v>
      </c>
      <c r="I20" s="18" t="s">
        <v>58</v>
      </c>
      <c r="J20" s="42">
        <v>-1257.9000000000001</v>
      </c>
      <c r="K20" s="18">
        <v>24</v>
      </c>
      <c r="L20" s="18">
        <v>44</v>
      </c>
      <c r="M20" s="18">
        <f t="shared" si="1"/>
        <v>68</v>
      </c>
    </row>
    <row r="21" spans="1:13" ht="15.75" customHeight="1" x14ac:dyDescent="0.3">
      <c r="A21" s="41" t="s">
        <v>44</v>
      </c>
      <c r="B21" s="17" t="s">
        <v>58</v>
      </c>
      <c r="C21" s="44">
        <v>1176.9000000000001</v>
      </c>
      <c r="D21" s="17">
        <v>38</v>
      </c>
      <c r="E21" s="17">
        <v>30</v>
      </c>
      <c r="F21" s="17">
        <f t="shared" si="0"/>
        <v>68</v>
      </c>
      <c r="H21" s="41" t="s">
        <v>44</v>
      </c>
      <c r="I21" s="17" t="s">
        <v>58</v>
      </c>
      <c r="J21" s="42">
        <v>-1064.7</v>
      </c>
      <c r="K21" s="17">
        <v>28</v>
      </c>
      <c r="L21" s="17">
        <v>37</v>
      </c>
      <c r="M21" s="17">
        <f t="shared" si="1"/>
        <v>65</v>
      </c>
    </row>
    <row r="22" spans="1:13" ht="24" customHeight="1" x14ac:dyDescent="0.3">
      <c r="A22" s="45" t="s">
        <v>59</v>
      </c>
      <c r="B22" s="45"/>
      <c r="C22" s="21">
        <f>SUM(C7:C21)</f>
        <v>20613.690000000002</v>
      </c>
      <c r="D22" s="45">
        <f>SUM(D7:D21)</f>
        <v>522</v>
      </c>
      <c r="E22" s="45">
        <f>SUM(E7:E21)</f>
        <v>631</v>
      </c>
      <c r="F22" s="45">
        <f>SUM(F7:F21)</f>
        <v>1153</v>
      </c>
      <c r="H22" s="45" t="s">
        <v>59</v>
      </c>
      <c r="I22" s="45"/>
      <c r="J22" s="23">
        <f>SUM(J7:J21)</f>
        <v>-10593.63</v>
      </c>
      <c r="K22" s="45">
        <f>SUM(K7:K21)</f>
        <v>410</v>
      </c>
      <c r="L22" s="45">
        <f>SUM(L7:L21)</f>
        <v>633</v>
      </c>
      <c r="M22" s="45">
        <f>SUM(M7:M21)</f>
        <v>1043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-168.2</v>
      </c>
      <c r="D27" s="18">
        <v>30</v>
      </c>
      <c r="E27" s="18">
        <v>40</v>
      </c>
      <c r="F27" s="18">
        <f t="shared" ref="F27:F41" si="2">SUM(D27,E27)</f>
        <v>70</v>
      </c>
      <c r="H27" s="43" t="s">
        <v>16</v>
      </c>
      <c r="I27" s="18" t="s">
        <v>58</v>
      </c>
      <c r="J27" s="42">
        <v>-106.3</v>
      </c>
      <c r="K27" s="18">
        <v>30</v>
      </c>
      <c r="L27" s="18">
        <v>46</v>
      </c>
      <c r="M27" s="18">
        <f t="shared" ref="M27:M41" si="3">SUM(K27,L27)</f>
        <v>76</v>
      </c>
    </row>
    <row r="28" spans="1:13" ht="15.75" customHeight="1" x14ac:dyDescent="0.3">
      <c r="A28" s="41" t="s">
        <v>18</v>
      </c>
      <c r="B28" s="17" t="s">
        <v>58</v>
      </c>
      <c r="C28" s="44">
        <v>516.1</v>
      </c>
      <c r="D28" s="17">
        <v>35</v>
      </c>
      <c r="E28" s="17">
        <v>42</v>
      </c>
      <c r="F28" s="17">
        <f t="shared" si="2"/>
        <v>77</v>
      </c>
      <c r="H28" s="41" t="s">
        <v>18</v>
      </c>
      <c r="I28" s="17" t="s">
        <v>58</v>
      </c>
      <c r="J28" s="44">
        <v>2493.9</v>
      </c>
      <c r="K28" s="17">
        <v>30</v>
      </c>
      <c r="L28" s="17">
        <v>34</v>
      </c>
      <c r="M28" s="17">
        <f t="shared" si="3"/>
        <v>64</v>
      </c>
    </row>
    <row r="29" spans="1:13" ht="15.75" customHeight="1" x14ac:dyDescent="0.3">
      <c r="A29" s="43" t="s">
        <v>20</v>
      </c>
      <c r="B29" s="18" t="s">
        <v>58</v>
      </c>
      <c r="C29" s="44">
        <v>202.75</v>
      </c>
      <c r="D29" s="18">
        <v>31</v>
      </c>
      <c r="E29" s="18">
        <v>38</v>
      </c>
      <c r="F29" s="18">
        <f t="shared" si="2"/>
        <v>69</v>
      </c>
      <c r="H29" s="43" t="s">
        <v>20</v>
      </c>
      <c r="I29" s="18" t="s">
        <v>58</v>
      </c>
      <c r="J29" s="44">
        <v>2941.45</v>
      </c>
      <c r="K29" s="18">
        <v>36</v>
      </c>
      <c r="L29" s="18">
        <v>35</v>
      </c>
      <c r="M29" s="18">
        <f t="shared" si="3"/>
        <v>71</v>
      </c>
    </row>
    <row r="30" spans="1:13" ht="15.75" customHeight="1" x14ac:dyDescent="0.3">
      <c r="A30" s="41" t="s">
        <v>22</v>
      </c>
      <c r="B30" s="17" t="s">
        <v>58</v>
      </c>
      <c r="C30" s="44">
        <v>3013.45</v>
      </c>
      <c r="D30" s="17">
        <v>34</v>
      </c>
      <c r="E30" s="17">
        <v>34</v>
      </c>
      <c r="F30" s="17">
        <f t="shared" si="2"/>
        <v>68</v>
      </c>
      <c r="H30" s="41" t="s">
        <v>22</v>
      </c>
      <c r="I30" s="17" t="s">
        <v>58</v>
      </c>
      <c r="J30" s="44">
        <v>2615.25</v>
      </c>
      <c r="K30" s="17">
        <v>37</v>
      </c>
      <c r="L30" s="17">
        <v>36</v>
      </c>
      <c r="M30" s="17">
        <f t="shared" si="3"/>
        <v>73</v>
      </c>
    </row>
    <row r="31" spans="1:13" ht="15.75" customHeight="1" x14ac:dyDescent="0.3">
      <c r="A31" s="43" t="s">
        <v>24</v>
      </c>
      <c r="B31" s="18" t="s">
        <v>58</v>
      </c>
      <c r="C31" s="42">
        <v>-515.95000000000005</v>
      </c>
      <c r="D31" s="18">
        <v>29</v>
      </c>
      <c r="E31" s="18">
        <v>42</v>
      </c>
      <c r="F31" s="18">
        <f t="shared" si="2"/>
        <v>71</v>
      </c>
      <c r="H31" s="43" t="s">
        <v>24</v>
      </c>
      <c r="I31" s="18" t="s">
        <v>58</v>
      </c>
      <c r="J31" s="44">
        <v>1107.7</v>
      </c>
      <c r="K31" s="18">
        <v>35</v>
      </c>
      <c r="L31" s="18">
        <v>39</v>
      </c>
      <c r="M31" s="18">
        <f t="shared" si="3"/>
        <v>74</v>
      </c>
    </row>
    <row r="32" spans="1:13" ht="15.75" customHeight="1" x14ac:dyDescent="0.3">
      <c r="A32" s="41" t="s">
        <v>26</v>
      </c>
      <c r="B32" s="17" t="s">
        <v>58</v>
      </c>
      <c r="C32" s="42">
        <v>-2147.0500000000002</v>
      </c>
      <c r="D32" s="17">
        <v>23</v>
      </c>
      <c r="E32" s="17">
        <v>43</v>
      </c>
      <c r="F32" s="17">
        <f t="shared" si="2"/>
        <v>66</v>
      </c>
      <c r="H32" s="41" t="s">
        <v>26</v>
      </c>
      <c r="I32" s="17" t="s">
        <v>58</v>
      </c>
      <c r="J32" s="44">
        <v>773.9</v>
      </c>
      <c r="K32" s="17">
        <v>35</v>
      </c>
      <c r="L32" s="17">
        <v>29</v>
      </c>
      <c r="M32" s="17">
        <f t="shared" si="3"/>
        <v>64</v>
      </c>
    </row>
    <row r="33" spans="1:13" ht="15.75" customHeight="1" x14ac:dyDescent="0.3">
      <c r="A33" s="43" t="s">
        <v>28</v>
      </c>
      <c r="B33" s="18" t="s">
        <v>58</v>
      </c>
      <c r="C33" s="44">
        <v>1863.15</v>
      </c>
      <c r="D33" s="18">
        <v>37</v>
      </c>
      <c r="E33" s="18">
        <v>43</v>
      </c>
      <c r="F33" s="18">
        <f t="shared" si="2"/>
        <v>80</v>
      </c>
      <c r="H33" s="43" t="s">
        <v>28</v>
      </c>
      <c r="I33" s="18" t="s">
        <v>58</v>
      </c>
      <c r="J33" s="44">
        <v>399.15</v>
      </c>
      <c r="K33" s="18">
        <v>31</v>
      </c>
      <c r="L33" s="18">
        <v>38</v>
      </c>
      <c r="M33" s="18">
        <f t="shared" si="3"/>
        <v>69</v>
      </c>
    </row>
    <row r="34" spans="1:13" ht="15.75" customHeight="1" x14ac:dyDescent="0.3">
      <c r="A34" s="41" t="s">
        <v>30</v>
      </c>
      <c r="B34" s="17" t="s">
        <v>58</v>
      </c>
      <c r="C34" s="44">
        <v>2147.5</v>
      </c>
      <c r="D34" s="17">
        <v>35</v>
      </c>
      <c r="E34" s="17">
        <v>37</v>
      </c>
      <c r="F34" s="17">
        <f t="shared" si="2"/>
        <v>72</v>
      </c>
      <c r="H34" s="41" t="s">
        <v>30</v>
      </c>
      <c r="I34" s="17" t="s">
        <v>58</v>
      </c>
      <c r="J34" s="42">
        <v>-1654.1</v>
      </c>
      <c r="K34" s="17">
        <v>27</v>
      </c>
      <c r="L34" s="17">
        <v>41</v>
      </c>
      <c r="M34" s="17">
        <f t="shared" si="3"/>
        <v>68</v>
      </c>
    </row>
    <row r="35" spans="1:13" ht="15.75" customHeight="1" x14ac:dyDescent="0.3">
      <c r="A35" s="43" t="s">
        <v>32</v>
      </c>
      <c r="B35" s="18" t="s">
        <v>58</v>
      </c>
      <c r="C35" s="44">
        <v>1007.8</v>
      </c>
      <c r="D35" s="18">
        <v>26</v>
      </c>
      <c r="E35" s="18">
        <v>28</v>
      </c>
      <c r="F35" s="18">
        <f t="shared" si="2"/>
        <v>54</v>
      </c>
      <c r="H35" s="43" t="s">
        <v>32</v>
      </c>
      <c r="I35" s="18" t="s">
        <v>58</v>
      </c>
      <c r="J35" s="44">
        <v>1642.7</v>
      </c>
      <c r="K35" s="18">
        <v>30</v>
      </c>
      <c r="L35" s="18">
        <v>37</v>
      </c>
      <c r="M35" s="18">
        <f t="shared" si="3"/>
        <v>67</v>
      </c>
    </row>
    <row r="36" spans="1:13" ht="15.75" customHeight="1" x14ac:dyDescent="0.3">
      <c r="A36" s="41" t="s">
        <v>34</v>
      </c>
      <c r="B36" s="17" t="s">
        <v>58</v>
      </c>
      <c r="C36" s="44">
        <v>366.94</v>
      </c>
      <c r="D36" s="17">
        <v>32</v>
      </c>
      <c r="E36" s="17">
        <v>48</v>
      </c>
      <c r="F36" s="17">
        <f t="shared" si="2"/>
        <v>80</v>
      </c>
      <c r="H36" s="41" t="s">
        <v>34</v>
      </c>
      <c r="I36" s="17" t="s">
        <v>58</v>
      </c>
      <c r="J36" s="42">
        <v>-386.24</v>
      </c>
      <c r="K36" s="17">
        <v>34</v>
      </c>
      <c r="L36" s="17">
        <v>40</v>
      </c>
      <c r="M36" s="17">
        <f t="shared" si="3"/>
        <v>74</v>
      </c>
    </row>
    <row r="37" spans="1:13" ht="15.75" customHeight="1" x14ac:dyDescent="0.3">
      <c r="A37" s="43" t="s">
        <v>36</v>
      </c>
      <c r="B37" s="18" t="s">
        <v>58</v>
      </c>
      <c r="C37" s="44">
        <v>983.35</v>
      </c>
      <c r="D37" s="18">
        <v>30</v>
      </c>
      <c r="E37" s="18">
        <v>36</v>
      </c>
      <c r="F37" s="18">
        <f t="shared" si="2"/>
        <v>66</v>
      </c>
      <c r="H37" s="43" t="s">
        <v>36</v>
      </c>
      <c r="I37" s="18" t="s">
        <v>58</v>
      </c>
      <c r="J37" s="42">
        <v>-59.35</v>
      </c>
      <c r="K37" s="18">
        <v>38</v>
      </c>
      <c r="L37" s="18">
        <v>41</v>
      </c>
      <c r="M37" s="18">
        <f t="shared" si="3"/>
        <v>79</v>
      </c>
    </row>
    <row r="38" spans="1:13" ht="15.75" customHeight="1" x14ac:dyDescent="0.3">
      <c r="A38" s="41" t="s">
        <v>38</v>
      </c>
      <c r="B38" s="17" t="s">
        <v>58</v>
      </c>
      <c r="C38" s="42">
        <v>-204.35</v>
      </c>
      <c r="D38" s="17">
        <v>33</v>
      </c>
      <c r="E38" s="17">
        <v>33</v>
      </c>
      <c r="F38" s="17">
        <f t="shared" si="2"/>
        <v>66</v>
      </c>
      <c r="H38" s="41" t="s">
        <v>38</v>
      </c>
      <c r="I38" s="17" t="s">
        <v>58</v>
      </c>
      <c r="J38" s="42">
        <v>-1822.1</v>
      </c>
      <c r="K38" s="17">
        <v>24</v>
      </c>
      <c r="L38" s="17">
        <v>36</v>
      </c>
      <c r="M38" s="17">
        <f t="shared" si="3"/>
        <v>60</v>
      </c>
    </row>
    <row r="39" spans="1:13" ht="15.75" customHeight="1" x14ac:dyDescent="0.3">
      <c r="A39" s="43" t="s">
        <v>40</v>
      </c>
      <c r="B39" s="18" t="s">
        <v>58</v>
      </c>
      <c r="C39" s="44">
        <v>271.05</v>
      </c>
      <c r="D39" s="18">
        <v>31</v>
      </c>
      <c r="E39" s="18">
        <v>37</v>
      </c>
      <c r="F39" s="18">
        <f t="shared" si="2"/>
        <v>68</v>
      </c>
      <c r="H39" s="43" t="s">
        <v>40</v>
      </c>
      <c r="I39" s="18" t="s">
        <v>58</v>
      </c>
      <c r="J39" s="42">
        <v>-637.25</v>
      </c>
      <c r="K39" s="18">
        <v>30</v>
      </c>
      <c r="L39" s="18">
        <v>42</v>
      </c>
      <c r="M39" s="18">
        <f t="shared" si="3"/>
        <v>72</v>
      </c>
    </row>
    <row r="40" spans="1:13" ht="15.75" customHeight="1" x14ac:dyDescent="0.3">
      <c r="A40" s="41" t="s">
        <v>42</v>
      </c>
      <c r="B40" s="17" t="s">
        <v>58</v>
      </c>
      <c r="C40" s="42">
        <v>-268.3</v>
      </c>
      <c r="D40" s="17">
        <v>29</v>
      </c>
      <c r="E40" s="17">
        <v>41</v>
      </c>
      <c r="F40" s="17">
        <f t="shared" si="2"/>
        <v>70</v>
      </c>
      <c r="H40" s="41" t="s">
        <v>42</v>
      </c>
      <c r="I40" s="17" t="s">
        <v>58</v>
      </c>
      <c r="J40" s="44">
        <v>2791.65</v>
      </c>
      <c r="K40" s="17">
        <v>33</v>
      </c>
      <c r="L40" s="17">
        <v>30</v>
      </c>
      <c r="M40" s="17">
        <f t="shared" si="3"/>
        <v>63</v>
      </c>
    </row>
    <row r="41" spans="1:13" ht="15.75" customHeight="1" x14ac:dyDescent="0.3">
      <c r="A41" s="43" t="s">
        <v>44</v>
      </c>
      <c r="B41" s="18" t="s">
        <v>58</v>
      </c>
      <c r="C41" s="44">
        <v>1656.9</v>
      </c>
      <c r="D41" s="18">
        <v>33</v>
      </c>
      <c r="E41" s="18">
        <v>30</v>
      </c>
      <c r="F41" s="18">
        <f t="shared" si="2"/>
        <v>63</v>
      </c>
      <c r="H41" s="43" t="s">
        <v>44</v>
      </c>
      <c r="I41" s="18" t="s">
        <v>58</v>
      </c>
      <c r="J41" s="44">
        <v>636.20000000000005</v>
      </c>
      <c r="K41" s="18">
        <v>28</v>
      </c>
      <c r="L41" s="18">
        <v>27</v>
      </c>
      <c r="M41" s="18">
        <f t="shared" si="3"/>
        <v>55</v>
      </c>
    </row>
    <row r="42" spans="1:13" ht="24" customHeight="1" x14ac:dyDescent="0.3">
      <c r="A42" s="45" t="s">
        <v>59</v>
      </c>
      <c r="B42" s="45"/>
      <c r="C42" s="21">
        <f>SUM(C27:C41)</f>
        <v>8725.14</v>
      </c>
      <c r="D42" s="45">
        <f>SUM(D27:D41)</f>
        <v>468</v>
      </c>
      <c r="E42" s="45">
        <f>SUM(E27:E41)</f>
        <v>572</v>
      </c>
      <c r="F42" s="45">
        <f>SUM(F27:F41)</f>
        <v>1040</v>
      </c>
      <c r="H42" s="45" t="s">
        <v>59</v>
      </c>
      <c r="I42" s="45"/>
      <c r="J42" s="21">
        <f>SUM(J27:J41)</f>
        <v>10736.56</v>
      </c>
      <c r="K42" s="45">
        <f>SUM(K27:K41)</f>
        <v>478</v>
      </c>
      <c r="L42" s="45">
        <f>SUM(L27:L41)</f>
        <v>551</v>
      </c>
      <c r="M42" s="45">
        <f>SUM(M27:M41)</f>
        <v>1029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4">
        <v>321.60000000000002</v>
      </c>
      <c r="D47" s="17">
        <v>25</v>
      </c>
      <c r="E47" s="17">
        <v>41</v>
      </c>
      <c r="F47" s="17">
        <f t="shared" ref="F47:F61" si="4">SUM(D47,E47)</f>
        <v>66</v>
      </c>
      <c r="H47" s="41" t="s">
        <v>16</v>
      </c>
      <c r="I47" s="17" t="s">
        <v>58</v>
      </c>
      <c r="J47" s="44">
        <v>674.3</v>
      </c>
      <c r="K47" s="17">
        <v>24</v>
      </c>
      <c r="L47" s="17">
        <v>36</v>
      </c>
      <c r="M47" s="17">
        <f t="shared" ref="M47:M61" si="5">SUM(K47,L47)</f>
        <v>60</v>
      </c>
    </row>
    <row r="48" spans="1:13" ht="15.75" customHeight="1" x14ac:dyDescent="0.3">
      <c r="A48" s="43" t="s">
        <v>18</v>
      </c>
      <c r="B48" s="18" t="s">
        <v>58</v>
      </c>
      <c r="C48" s="42">
        <v>-630.9</v>
      </c>
      <c r="D48" s="18">
        <v>28</v>
      </c>
      <c r="E48" s="18">
        <v>44</v>
      </c>
      <c r="F48" s="18">
        <f t="shared" si="4"/>
        <v>72</v>
      </c>
      <c r="H48" s="43" t="s">
        <v>18</v>
      </c>
      <c r="I48" s="18" t="s">
        <v>58</v>
      </c>
      <c r="J48" s="44">
        <v>3678.4</v>
      </c>
      <c r="K48" s="18">
        <v>31</v>
      </c>
      <c r="L48" s="18">
        <v>31</v>
      </c>
      <c r="M48" s="18">
        <f t="shared" si="5"/>
        <v>62</v>
      </c>
    </row>
    <row r="49" spans="1:13" ht="15.75" customHeight="1" x14ac:dyDescent="0.3">
      <c r="A49" s="41" t="s">
        <v>20</v>
      </c>
      <c r="B49" s="17" t="s">
        <v>58</v>
      </c>
      <c r="C49" s="44">
        <v>1665.45</v>
      </c>
      <c r="D49" s="17">
        <v>33</v>
      </c>
      <c r="E49" s="17">
        <v>42</v>
      </c>
      <c r="F49" s="17">
        <f t="shared" si="4"/>
        <v>75</v>
      </c>
      <c r="H49" s="41" t="s">
        <v>20</v>
      </c>
      <c r="I49" s="17" t="s">
        <v>58</v>
      </c>
      <c r="J49" s="44">
        <v>2693.55</v>
      </c>
      <c r="K49" s="17">
        <v>30</v>
      </c>
      <c r="L49" s="17">
        <v>32</v>
      </c>
      <c r="M49" s="17">
        <f t="shared" si="5"/>
        <v>62</v>
      </c>
    </row>
    <row r="50" spans="1:13" ht="15.75" customHeight="1" x14ac:dyDescent="0.3">
      <c r="A50" s="43" t="s">
        <v>22</v>
      </c>
      <c r="B50" s="18" t="s">
        <v>58</v>
      </c>
      <c r="C50" s="42">
        <v>-435.45</v>
      </c>
      <c r="D50" s="18">
        <v>32</v>
      </c>
      <c r="E50" s="18">
        <v>51</v>
      </c>
      <c r="F50" s="18">
        <f t="shared" si="4"/>
        <v>83</v>
      </c>
      <c r="H50" s="43" t="s">
        <v>22</v>
      </c>
      <c r="I50" s="18" t="s">
        <v>58</v>
      </c>
      <c r="J50" s="42">
        <v>-984.8</v>
      </c>
      <c r="K50" s="18">
        <v>28</v>
      </c>
      <c r="L50" s="18">
        <v>39</v>
      </c>
      <c r="M50" s="18">
        <f t="shared" si="5"/>
        <v>67</v>
      </c>
    </row>
    <row r="51" spans="1:13" ht="15.75" customHeight="1" x14ac:dyDescent="0.3">
      <c r="A51" s="41" t="s">
        <v>24</v>
      </c>
      <c r="B51" s="17" t="s">
        <v>58</v>
      </c>
      <c r="C51" s="42">
        <v>-989.55</v>
      </c>
      <c r="D51" s="17">
        <v>30</v>
      </c>
      <c r="E51" s="17">
        <v>43</v>
      </c>
      <c r="F51" s="17">
        <f t="shared" si="4"/>
        <v>73</v>
      </c>
      <c r="H51" s="41" t="s">
        <v>24</v>
      </c>
      <c r="I51" s="17" t="s">
        <v>58</v>
      </c>
      <c r="J51" s="42">
        <v>-613.45000000000005</v>
      </c>
      <c r="K51" s="17">
        <v>28</v>
      </c>
      <c r="L51" s="17">
        <v>35</v>
      </c>
      <c r="M51" s="17">
        <f t="shared" si="5"/>
        <v>63</v>
      </c>
    </row>
    <row r="52" spans="1:13" ht="15.75" customHeight="1" x14ac:dyDescent="0.3">
      <c r="A52" s="43" t="s">
        <v>26</v>
      </c>
      <c r="B52" s="18" t="s">
        <v>58</v>
      </c>
      <c r="C52" s="42">
        <v>-1671.7</v>
      </c>
      <c r="D52" s="18">
        <v>21</v>
      </c>
      <c r="E52" s="18">
        <v>38</v>
      </c>
      <c r="F52" s="18">
        <f t="shared" si="4"/>
        <v>59</v>
      </c>
      <c r="H52" s="43" t="s">
        <v>26</v>
      </c>
      <c r="I52" s="18" t="s">
        <v>58</v>
      </c>
      <c r="J52" s="44">
        <v>554.5</v>
      </c>
      <c r="K52" s="18">
        <v>27</v>
      </c>
      <c r="L52" s="18">
        <v>33</v>
      </c>
      <c r="M52" s="18">
        <f t="shared" si="5"/>
        <v>60</v>
      </c>
    </row>
    <row r="53" spans="1:13" ht="15.75" customHeight="1" x14ac:dyDescent="0.3">
      <c r="A53" s="41" t="s">
        <v>28</v>
      </c>
      <c r="B53" s="17" t="s">
        <v>58</v>
      </c>
      <c r="C53" s="44">
        <v>1738.1</v>
      </c>
      <c r="D53" s="17">
        <v>33</v>
      </c>
      <c r="E53" s="17">
        <v>39</v>
      </c>
      <c r="F53" s="17">
        <f t="shared" si="4"/>
        <v>72</v>
      </c>
      <c r="H53" s="41" t="s">
        <v>28</v>
      </c>
      <c r="I53" s="17" t="s">
        <v>58</v>
      </c>
      <c r="J53" s="44">
        <v>2352.9</v>
      </c>
      <c r="K53" s="17">
        <v>32</v>
      </c>
      <c r="L53" s="17">
        <v>33</v>
      </c>
      <c r="M53" s="17">
        <f t="shared" si="5"/>
        <v>65</v>
      </c>
    </row>
    <row r="54" spans="1:13" ht="15.75" customHeight="1" x14ac:dyDescent="0.3">
      <c r="A54" s="43" t="s">
        <v>30</v>
      </c>
      <c r="B54" s="18" t="s">
        <v>58</v>
      </c>
      <c r="C54" s="44">
        <v>7818.95</v>
      </c>
      <c r="D54" s="18">
        <v>47</v>
      </c>
      <c r="E54" s="18">
        <v>32</v>
      </c>
      <c r="F54" s="18">
        <f t="shared" si="4"/>
        <v>79</v>
      </c>
      <c r="H54" s="43" t="s">
        <v>30</v>
      </c>
      <c r="I54" s="18" t="s">
        <v>58</v>
      </c>
      <c r="J54" s="44">
        <v>208.2</v>
      </c>
      <c r="K54" s="18">
        <v>25</v>
      </c>
      <c r="L54" s="18">
        <v>36</v>
      </c>
      <c r="M54" s="18">
        <f t="shared" si="5"/>
        <v>61</v>
      </c>
    </row>
    <row r="55" spans="1:13" ht="15.75" customHeight="1" x14ac:dyDescent="0.3">
      <c r="A55" s="41" t="s">
        <v>32</v>
      </c>
      <c r="B55" s="17" t="s">
        <v>58</v>
      </c>
      <c r="C55" s="44">
        <v>2335.5500000000002</v>
      </c>
      <c r="D55" s="17">
        <v>27</v>
      </c>
      <c r="E55" s="17">
        <v>28</v>
      </c>
      <c r="F55" s="17">
        <f t="shared" si="4"/>
        <v>55</v>
      </c>
      <c r="H55" s="41" t="s">
        <v>32</v>
      </c>
      <c r="I55" s="17" t="s">
        <v>58</v>
      </c>
      <c r="J55" s="42">
        <v>-1954.45</v>
      </c>
      <c r="K55" s="17">
        <v>20</v>
      </c>
      <c r="L55" s="17">
        <v>39</v>
      </c>
      <c r="M55" s="17">
        <f t="shared" si="5"/>
        <v>59</v>
      </c>
    </row>
    <row r="56" spans="1:13" ht="15.75" customHeight="1" x14ac:dyDescent="0.3">
      <c r="A56" s="43" t="s">
        <v>34</v>
      </c>
      <c r="B56" s="18" t="s">
        <v>58</v>
      </c>
      <c r="C56" s="44">
        <v>235.77</v>
      </c>
      <c r="D56" s="18">
        <v>29</v>
      </c>
      <c r="E56" s="18">
        <v>46</v>
      </c>
      <c r="F56" s="18">
        <f t="shared" si="4"/>
        <v>75</v>
      </c>
      <c r="H56" s="43" t="s">
        <v>34</v>
      </c>
      <c r="I56" s="18" t="s">
        <v>58</v>
      </c>
      <c r="J56" s="42">
        <v>-649.97</v>
      </c>
      <c r="K56" s="18">
        <v>25</v>
      </c>
      <c r="L56" s="18">
        <v>36</v>
      </c>
      <c r="M56" s="18">
        <f t="shared" si="5"/>
        <v>61</v>
      </c>
    </row>
    <row r="57" spans="1:13" ht="15.75" customHeight="1" x14ac:dyDescent="0.3">
      <c r="A57" s="41" t="s">
        <v>36</v>
      </c>
      <c r="B57" s="17" t="s">
        <v>58</v>
      </c>
      <c r="C57" s="44">
        <v>271</v>
      </c>
      <c r="D57" s="17">
        <v>31</v>
      </c>
      <c r="E57" s="17">
        <v>39</v>
      </c>
      <c r="F57" s="17">
        <f t="shared" si="4"/>
        <v>70</v>
      </c>
      <c r="H57" s="41" t="s">
        <v>36</v>
      </c>
      <c r="I57" s="17" t="s">
        <v>58</v>
      </c>
      <c r="J57" s="44">
        <v>50.6</v>
      </c>
      <c r="K57" s="17">
        <v>28</v>
      </c>
      <c r="L57" s="17">
        <v>32</v>
      </c>
      <c r="M57" s="17">
        <f t="shared" si="5"/>
        <v>60</v>
      </c>
    </row>
    <row r="58" spans="1:13" ht="15.75" customHeight="1" x14ac:dyDescent="0.3">
      <c r="A58" s="43" t="s">
        <v>38</v>
      </c>
      <c r="B58" s="18" t="s">
        <v>58</v>
      </c>
      <c r="C58" s="44">
        <v>1029.9000000000001</v>
      </c>
      <c r="D58" s="18">
        <v>33</v>
      </c>
      <c r="E58" s="18">
        <v>40</v>
      </c>
      <c r="F58" s="18">
        <f t="shared" si="4"/>
        <v>73</v>
      </c>
      <c r="H58" s="43" t="s">
        <v>38</v>
      </c>
      <c r="I58" s="18" t="s">
        <v>58</v>
      </c>
      <c r="J58" s="44">
        <v>28.65</v>
      </c>
      <c r="K58" s="18">
        <v>24</v>
      </c>
      <c r="L58" s="18">
        <v>26</v>
      </c>
      <c r="M58" s="18">
        <f t="shared" si="5"/>
        <v>50</v>
      </c>
    </row>
    <row r="59" spans="1:13" ht="15.75" customHeight="1" x14ac:dyDescent="0.3">
      <c r="A59" s="41" t="s">
        <v>40</v>
      </c>
      <c r="B59" s="17" t="s">
        <v>58</v>
      </c>
      <c r="C59" s="44">
        <v>1375.65</v>
      </c>
      <c r="D59" s="17">
        <v>33</v>
      </c>
      <c r="E59" s="17">
        <v>36</v>
      </c>
      <c r="F59" s="17">
        <f t="shared" si="4"/>
        <v>69</v>
      </c>
      <c r="H59" s="41" t="s">
        <v>40</v>
      </c>
      <c r="I59" s="17" t="s">
        <v>58</v>
      </c>
      <c r="J59" s="42">
        <v>-1481.8</v>
      </c>
      <c r="K59" s="17">
        <v>27</v>
      </c>
      <c r="L59" s="17">
        <v>37</v>
      </c>
      <c r="M59" s="17">
        <f t="shared" si="5"/>
        <v>64</v>
      </c>
    </row>
    <row r="60" spans="1:13" ht="15.75" customHeight="1" x14ac:dyDescent="0.3">
      <c r="A60" s="43" t="s">
        <v>42</v>
      </c>
      <c r="B60" s="18" t="s">
        <v>58</v>
      </c>
      <c r="C60" s="42">
        <v>-6.4</v>
      </c>
      <c r="D60" s="18">
        <v>32</v>
      </c>
      <c r="E60" s="18">
        <v>45</v>
      </c>
      <c r="F60" s="18">
        <f t="shared" si="4"/>
        <v>77</v>
      </c>
      <c r="H60" s="43" t="s">
        <v>42</v>
      </c>
      <c r="I60" s="18" t="s">
        <v>58</v>
      </c>
      <c r="J60" s="42">
        <v>-1576.35</v>
      </c>
      <c r="K60" s="18">
        <v>21</v>
      </c>
      <c r="L60" s="18">
        <v>35</v>
      </c>
      <c r="M60" s="18">
        <f t="shared" si="5"/>
        <v>56</v>
      </c>
    </row>
    <row r="61" spans="1:13" ht="15.75" customHeight="1" x14ac:dyDescent="0.3">
      <c r="A61" s="41" t="s">
        <v>44</v>
      </c>
      <c r="B61" s="17" t="s">
        <v>58</v>
      </c>
      <c r="C61" s="44">
        <v>1704.15</v>
      </c>
      <c r="D61" s="17">
        <v>27</v>
      </c>
      <c r="E61" s="17">
        <v>31</v>
      </c>
      <c r="F61" s="17">
        <f t="shared" si="4"/>
        <v>58</v>
      </c>
      <c r="H61" s="41" t="s">
        <v>44</v>
      </c>
      <c r="I61" s="17" t="s">
        <v>58</v>
      </c>
      <c r="J61" s="44">
        <v>939.8</v>
      </c>
      <c r="K61" s="17">
        <v>31</v>
      </c>
      <c r="L61" s="17">
        <v>26</v>
      </c>
      <c r="M61" s="17">
        <f t="shared" si="5"/>
        <v>57</v>
      </c>
    </row>
    <row r="62" spans="1:13" ht="24" customHeight="1" x14ac:dyDescent="0.3">
      <c r="A62" s="45" t="s">
        <v>59</v>
      </c>
      <c r="B62" s="45"/>
      <c r="C62" s="21">
        <f>SUM(C47:C61)</f>
        <v>14762.119999999999</v>
      </c>
      <c r="D62" s="45">
        <f>SUM(D47:D61)</f>
        <v>461</v>
      </c>
      <c r="E62" s="45">
        <f>SUM(E47:E61)</f>
        <v>595</v>
      </c>
      <c r="F62" s="45">
        <f>SUM(F47:F61)</f>
        <v>1056</v>
      </c>
      <c r="H62" s="45" t="s">
        <v>59</v>
      </c>
      <c r="I62" s="45"/>
      <c r="J62" s="23">
        <f>SUM(J47:J61)</f>
        <v>3920.08</v>
      </c>
      <c r="K62" s="45">
        <f>SUM(K47:K61)</f>
        <v>401</v>
      </c>
      <c r="L62" s="45">
        <f>SUM(L47:L61)</f>
        <v>506</v>
      </c>
      <c r="M62" s="45">
        <f>SUM(M47:M61)</f>
        <v>907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3034.8</v>
      </c>
      <c r="D67" s="18">
        <v>33</v>
      </c>
      <c r="E67" s="18">
        <v>30</v>
      </c>
      <c r="F67" s="18">
        <f t="shared" ref="F67:F81" si="6">SUM(D67,E67)</f>
        <v>63</v>
      </c>
      <c r="H67" s="43" t="s">
        <v>16</v>
      </c>
      <c r="I67" s="18" t="s">
        <v>58</v>
      </c>
      <c r="J67" s="42">
        <v>-3391.5</v>
      </c>
      <c r="K67" s="18">
        <v>20</v>
      </c>
      <c r="L67" s="18">
        <v>51</v>
      </c>
      <c r="M67" s="18">
        <f t="shared" ref="M67:M81" si="7">SUM(K67,L67)</f>
        <v>71</v>
      </c>
    </row>
    <row r="68" spans="1:13" ht="15.75" customHeight="1" x14ac:dyDescent="0.3">
      <c r="A68" s="41" t="s">
        <v>18</v>
      </c>
      <c r="B68" s="17" t="s">
        <v>58</v>
      </c>
      <c r="C68" s="42">
        <v>-471.75</v>
      </c>
      <c r="D68" s="17">
        <v>25</v>
      </c>
      <c r="E68" s="17">
        <v>42</v>
      </c>
      <c r="F68" s="17">
        <f t="shared" si="6"/>
        <v>67</v>
      </c>
      <c r="H68" s="41" t="s">
        <v>18</v>
      </c>
      <c r="I68" s="17" t="s">
        <v>58</v>
      </c>
      <c r="J68" s="44">
        <v>2518.65</v>
      </c>
      <c r="K68" s="17">
        <v>37</v>
      </c>
      <c r="L68" s="17">
        <v>40</v>
      </c>
      <c r="M68" s="17">
        <f t="shared" si="7"/>
        <v>77</v>
      </c>
    </row>
    <row r="69" spans="1:13" ht="15.75" customHeight="1" x14ac:dyDescent="0.3">
      <c r="A69" s="43" t="s">
        <v>20</v>
      </c>
      <c r="B69" s="18" t="s">
        <v>58</v>
      </c>
      <c r="C69" s="44">
        <v>1343.8</v>
      </c>
      <c r="D69" s="18">
        <v>28</v>
      </c>
      <c r="E69" s="18">
        <v>36</v>
      </c>
      <c r="F69" s="18">
        <f t="shared" si="6"/>
        <v>64</v>
      </c>
      <c r="H69" s="43" t="s">
        <v>20</v>
      </c>
      <c r="I69" s="18" t="s">
        <v>58</v>
      </c>
      <c r="J69" s="44">
        <v>1082.4000000000001</v>
      </c>
      <c r="K69" s="18">
        <v>37</v>
      </c>
      <c r="L69" s="18">
        <v>43</v>
      </c>
      <c r="M69" s="18">
        <f t="shared" si="7"/>
        <v>80</v>
      </c>
    </row>
    <row r="70" spans="1:13" ht="15.75" customHeight="1" x14ac:dyDescent="0.3">
      <c r="A70" s="41" t="s">
        <v>22</v>
      </c>
      <c r="B70" s="17" t="s">
        <v>58</v>
      </c>
      <c r="C70" s="42">
        <v>-1370</v>
      </c>
      <c r="D70" s="17">
        <v>29</v>
      </c>
      <c r="E70" s="17">
        <v>48</v>
      </c>
      <c r="F70" s="17">
        <f t="shared" si="6"/>
        <v>77</v>
      </c>
      <c r="H70" s="41" t="s">
        <v>22</v>
      </c>
      <c r="I70" s="17" t="s">
        <v>58</v>
      </c>
      <c r="J70" s="42">
        <v>-530.29999999999995</v>
      </c>
      <c r="K70" s="17">
        <v>32</v>
      </c>
      <c r="L70" s="17">
        <v>55</v>
      </c>
      <c r="M70" s="17">
        <f t="shared" si="7"/>
        <v>87</v>
      </c>
    </row>
    <row r="71" spans="1:13" ht="15.75" customHeight="1" x14ac:dyDescent="0.3">
      <c r="A71" s="43" t="s">
        <v>24</v>
      </c>
      <c r="B71" s="18" t="s">
        <v>58</v>
      </c>
      <c r="C71" s="42">
        <v>-484.6</v>
      </c>
      <c r="D71" s="18">
        <v>30</v>
      </c>
      <c r="E71" s="18">
        <v>44</v>
      </c>
      <c r="F71" s="18">
        <f t="shared" si="6"/>
        <v>74</v>
      </c>
      <c r="H71" s="43" t="s">
        <v>24</v>
      </c>
      <c r="I71" s="18" t="s">
        <v>58</v>
      </c>
      <c r="J71" s="44">
        <v>2422.9499999999998</v>
      </c>
      <c r="K71" s="18">
        <v>31</v>
      </c>
      <c r="L71" s="18">
        <v>37</v>
      </c>
      <c r="M71" s="18">
        <f t="shared" si="7"/>
        <v>68</v>
      </c>
    </row>
    <row r="72" spans="1:13" ht="15.75" customHeight="1" x14ac:dyDescent="0.3">
      <c r="A72" s="41" t="s">
        <v>26</v>
      </c>
      <c r="B72" s="17" t="s">
        <v>58</v>
      </c>
      <c r="C72" s="42">
        <v>-1094.5999999999999</v>
      </c>
      <c r="D72" s="17">
        <v>28</v>
      </c>
      <c r="E72" s="17">
        <v>47</v>
      </c>
      <c r="F72" s="17">
        <f t="shared" si="6"/>
        <v>75</v>
      </c>
      <c r="H72" s="41" t="s">
        <v>26</v>
      </c>
      <c r="I72" s="17" t="s">
        <v>58</v>
      </c>
      <c r="J72" s="44">
        <v>448.35</v>
      </c>
      <c r="K72" s="17">
        <v>34</v>
      </c>
      <c r="L72" s="17">
        <v>40</v>
      </c>
      <c r="M72" s="17">
        <f t="shared" si="7"/>
        <v>74</v>
      </c>
    </row>
    <row r="73" spans="1:13" ht="15.75" customHeight="1" x14ac:dyDescent="0.3">
      <c r="A73" s="43" t="s">
        <v>28</v>
      </c>
      <c r="B73" s="18" t="s">
        <v>58</v>
      </c>
      <c r="C73" s="44">
        <v>1626.85</v>
      </c>
      <c r="D73" s="18">
        <v>29</v>
      </c>
      <c r="E73" s="18">
        <v>37</v>
      </c>
      <c r="F73" s="18">
        <f t="shared" si="6"/>
        <v>66</v>
      </c>
      <c r="H73" s="43" t="s">
        <v>28</v>
      </c>
      <c r="I73" s="18" t="s">
        <v>58</v>
      </c>
      <c r="J73" s="44">
        <v>3949.7</v>
      </c>
      <c r="K73" s="18">
        <v>36</v>
      </c>
      <c r="L73" s="18">
        <v>36</v>
      </c>
      <c r="M73" s="18">
        <f t="shared" si="7"/>
        <v>72</v>
      </c>
    </row>
    <row r="74" spans="1:13" ht="15.75" customHeight="1" x14ac:dyDescent="0.3">
      <c r="A74" s="41" t="s">
        <v>30</v>
      </c>
      <c r="B74" s="17" t="s">
        <v>58</v>
      </c>
      <c r="C74" s="42">
        <v>-1106.75</v>
      </c>
      <c r="D74" s="17">
        <v>26</v>
      </c>
      <c r="E74" s="17">
        <v>45</v>
      </c>
      <c r="F74" s="17">
        <f t="shared" si="6"/>
        <v>71</v>
      </c>
      <c r="H74" s="41" t="s">
        <v>30</v>
      </c>
      <c r="I74" s="17" t="s">
        <v>58</v>
      </c>
      <c r="J74" s="42">
        <v>-1106.45</v>
      </c>
      <c r="K74" s="17">
        <v>27</v>
      </c>
      <c r="L74" s="17">
        <v>52</v>
      </c>
      <c r="M74" s="17">
        <f t="shared" si="7"/>
        <v>79</v>
      </c>
    </row>
    <row r="75" spans="1:13" ht="15.75" customHeight="1" x14ac:dyDescent="0.3">
      <c r="A75" s="43" t="s">
        <v>32</v>
      </c>
      <c r="B75" s="18" t="s">
        <v>58</v>
      </c>
      <c r="C75" s="44">
        <v>888.1</v>
      </c>
      <c r="D75" s="18">
        <v>23</v>
      </c>
      <c r="E75" s="18">
        <v>33</v>
      </c>
      <c r="F75" s="18">
        <f t="shared" si="6"/>
        <v>56</v>
      </c>
      <c r="H75" s="43" t="s">
        <v>32</v>
      </c>
      <c r="I75" s="18" t="s">
        <v>58</v>
      </c>
      <c r="J75" s="42">
        <v>-438.05</v>
      </c>
      <c r="K75" s="18">
        <v>26</v>
      </c>
      <c r="L75" s="18">
        <v>39</v>
      </c>
      <c r="M75" s="18">
        <f t="shared" si="7"/>
        <v>65</v>
      </c>
    </row>
    <row r="76" spans="1:13" ht="15.75" customHeight="1" x14ac:dyDescent="0.3">
      <c r="A76" s="41" t="s">
        <v>34</v>
      </c>
      <c r="B76" s="17" t="s">
        <v>58</v>
      </c>
      <c r="C76" s="42">
        <v>-1940.9</v>
      </c>
      <c r="D76" s="17">
        <v>24</v>
      </c>
      <c r="E76" s="17">
        <v>43</v>
      </c>
      <c r="F76" s="17">
        <f t="shared" si="6"/>
        <v>67</v>
      </c>
      <c r="H76" s="41" t="s">
        <v>34</v>
      </c>
      <c r="I76" s="17" t="s">
        <v>58</v>
      </c>
      <c r="J76" s="44">
        <v>932.95</v>
      </c>
      <c r="K76" s="17">
        <v>33</v>
      </c>
      <c r="L76" s="17">
        <v>49</v>
      </c>
      <c r="M76" s="17">
        <f t="shared" si="7"/>
        <v>82</v>
      </c>
    </row>
    <row r="77" spans="1:13" ht="15.75" customHeight="1" x14ac:dyDescent="0.3">
      <c r="A77" s="43" t="s">
        <v>36</v>
      </c>
      <c r="B77" s="18" t="s">
        <v>58</v>
      </c>
      <c r="C77" s="44">
        <v>148.94999999999999</v>
      </c>
      <c r="D77" s="18">
        <v>28</v>
      </c>
      <c r="E77" s="18">
        <v>39</v>
      </c>
      <c r="F77" s="18">
        <f t="shared" si="6"/>
        <v>67</v>
      </c>
      <c r="H77" s="43" t="s">
        <v>36</v>
      </c>
      <c r="I77" s="18" t="s">
        <v>58</v>
      </c>
      <c r="J77" s="44">
        <v>393.2</v>
      </c>
      <c r="K77" s="18">
        <v>29</v>
      </c>
      <c r="L77" s="18">
        <v>50</v>
      </c>
      <c r="M77" s="18">
        <f t="shared" si="7"/>
        <v>79</v>
      </c>
    </row>
    <row r="78" spans="1:13" ht="15.75" customHeight="1" x14ac:dyDescent="0.3">
      <c r="A78" s="41" t="s">
        <v>38</v>
      </c>
      <c r="B78" s="17" t="s">
        <v>58</v>
      </c>
      <c r="C78" s="44">
        <v>2394.9499999999998</v>
      </c>
      <c r="D78" s="17">
        <v>35</v>
      </c>
      <c r="E78" s="17">
        <v>32</v>
      </c>
      <c r="F78" s="17">
        <f t="shared" si="6"/>
        <v>67</v>
      </c>
      <c r="H78" s="41" t="s">
        <v>38</v>
      </c>
      <c r="I78" s="17" t="s">
        <v>58</v>
      </c>
      <c r="J78" s="42">
        <v>-1375.75</v>
      </c>
      <c r="K78" s="17">
        <v>25</v>
      </c>
      <c r="L78" s="17">
        <v>44</v>
      </c>
      <c r="M78" s="17">
        <f t="shared" si="7"/>
        <v>69</v>
      </c>
    </row>
    <row r="79" spans="1:13" ht="15.75" customHeight="1" x14ac:dyDescent="0.3">
      <c r="A79" s="43" t="s">
        <v>40</v>
      </c>
      <c r="B79" s="18" t="s">
        <v>58</v>
      </c>
      <c r="C79" s="42">
        <v>-1599.4</v>
      </c>
      <c r="D79" s="18">
        <v>28</v>
      </c>
      <c r="E79" s="18">
        <v>45</v>
      </c>
      <c r="F79" s="18">
        <f t="shared" si="6"/>
        <v>73</v>
      </c>
      <c r="H79" s="43" t="s">
        <v>40</v>
      </c>
      <c r="I79" s="18" t="s">
        <v>58</v>
      </c>
      <c r="J79" s="44">
        <v>151.05000000000001</v>
      </c>
      <c r="K79" s="18">
        <v>34</v>
      </c>
      <c r="L79" s="18">
        <v>40</v>
      </c>
      <c r="M79" s="18">
        <f t="shared" si="7"/>
        <v>74</v>
      </c>
    </row>
    <row r="80" spans="1:13" ht="15.75" customHeight="1" x14ac:dyDescent="0.3">
      <c r="A80" s="41" t="s">
        <v>42</v>
      </c>
      <c r="B80" s="17" t="s">
        <v>58</v>
      </c>
      <c r="C80" s="42">
        <v>-282.5</v>
      </c>
      <c r="D80" s="17">
        <v>32</v>
      </c>
      <c r="E80" s="17">
        <v>40</v>
      </c>
      <c r="F80" s="17">
        <f t="shared" si="6"/>
        <v>72</v>
      </c>
      <c r="H80" s="41" t="s">
        <v>42</v>
      </c>
      <c r="I80" s="17" t="s">
        <v>58</v>
      </c>
      <c r="J80" s="44">
        <v>1425.3</v>
      </c>
      <c r="K80" s="17">
        <v>30</v>
      </c>
      <c r="L80" s="17">
        <v>41</v>
      </c>
      <c r="M80" s="17">
        <f t="shared" si="7"/>
        <v>71</v>
      </c>
    </row>
    <row r="81" spans="1:13" ht="15.75" customHeight="1" x14ac:dyDescent="0.3">
      <c r="A81" s="43" t="s">
        <v>44</v>
      </c>
      <c r="B81" s="18" t="s">
        <v>58</v>
      </c>
      <c r="C81" s="44">
        <v>622.79999999999995</v>
      </c>
      <c r="D81" s="18">
        <v>30</v>
      </c>
      <c r="E81" s="18">
        <v>35</v>
      </c>
      <c r="F81" s="18">
        <f t="shared" si="6"/>
        <v>65</v>
      </c>
      <c r="H81" s="43" t="s">
        <v>44</v>
      </c>
      <c r="I81" s="18" t="s">
        <v>58</v>
      </c>
      <c r="J81" s="44">
        <v>2408.15</v>
      </c>
      <c r="K81" s="18">
        <v>31</v>
      </c>
      <c r="L81" s="18">
        <v>33</v>
      </c>
      <c r="M81" s="18">
        <f t="shared" si="7"/>
        <v>64</v>
      </c>
    </row>
    <row r="82" spans="1:13" ht="24" customHeight="1" x14ac:dyDescent="0.3">
      <c r="A82" s="45" t="s">
        <v>59</v>
      </c>
      <c r="B82" s="45"/>
      <c r="C82" s="23">
        <f>SUM(C67:C81)</f>
        <v>1709.7500000000002</v>
      </c>
      <c r="D82" s="45">
        <f>SUM(D67:D81)</f>
        <v>428</v>
      </c>
      <c r="E82" s="45">
        <f>SUM(E67:E81)</f>
        <v>596</v>
      </c>
      <c r="F82" s="45">
        <f>SUM(F67:F81)</f>
        <v>1024</v>
      </c>
      <c r="H82" s="45" t="s">
        <v>59</v>
      </c>
      <c r="I82" s="45"/>
      <c r="J82" s="21">
        <f>SUM(J67:J81)</f>
        <v>8890.65</v>
      </c>
      <c r="K82" s="45">
        <f>SUM(K67:K81)</f>
        <v>462</v>
      </c>
      <c r="L82" s="45">
        <f>SUM(L67:L81)</f>
        <v>650</v>
      </c>
      <c r="M82" s="45">
        <f>SUM(M67:M81)</f>
        <v>1112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45810.7</v>
      </c>
      <c r="E86" s="28">
        <f>SUM(D82,D62,D42,D22)</f>
        <v>1879</v>
      </c>
      <c r="F86" s="28">
        <f>SUM(E82,E62,E42,E22)</f>
        <v>2394</v>
      </c>
      <c r="G86" s="28">
        <f>SUM(E86:F86)</f>
        <v>4273</v>
      </c>
      <c r="H86" s="29">
        <f>E86/G86</f>
        <v>0.43973788907091038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12953.66</v>
      </c>
      <c r="E87" s="33">
        <f>SUM(K82,K62,K42,K22)</f>
        <v>1751</v>
      </c>
      <c r="F87" s="33">
        <f>SUM(L82,L62,L42,L22)</f>
        <v>2340</v>
      </c>
      <c r="G87" s="33">
        <f>SUM(E87:F87)</f>
        <v>4091</v>
      </c>
      <c r="H87" s="34">
        <f>E87/G87</f>
        <v>0.42801271082864828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58764.36</v>
      </c>
      <c r="E88" s="6">
        <f>SUM(E86:E87)</f>
        <v>3630</v>
      </c>
      <c r="F88" s="6">
        <f>SUM(F86:F87)</f>
        <v>4734</v>
      </c>
      <c r="G88" s="6">
        <f>SUM(G86:G87)</f>
        <v>8364</v>
      </c>
      <c r="H88" s="37">
        <f>AVERAGE(H86,H87)</f>
        <v>0.43387529994977936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M90"/>
  <sheetViews>
    <sheetView showGridLines="0"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" customWidth="1"/>
    <col min="4" max="4" width="8" customWidth="1"/>
    <col min="5" max="5" width="7" customWidth="1"/>
    <col min="6" max="6" width="11" customWidth="1"/>
    <col min="7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4">
        <v>1677.55</v>
      </c>
      <c r="D7" s="17">
        <v>28</v>
      </c>
      <c r="E7" s="17">
        <v>33</v>
      </c>
      <c r="F7" s="17">
        <f t="shared" ref="F7:F21" si="0">SUM(D7,E7)</f>
        <v>61</v>
      </c>
      <c r="H7" s="41" t="s">
        <v>16</v>
      </c>
      <c r="I7" s="17" t="s">
        <v>58</v>
      </c>
      <c r="J7" s="44">
        <v>1357.35</v>
      </c>
      <c r="K7" s="17">
        <v>30</v>
      </c>
      <c r="L7" s="17">
        <v>34</v>
      </c>
      <c r="M7" s="17">
        <f t="shared" ref="M7:M21" si="1">SUM(K7,L7)</f>
        <v>64</v>
      </c>
    </row>
    <row r="8" spans="1:13" ht="15.75" customHeight="1" x14ac:dyDescent="0.3">
      <c r="A8" s="43" t="s">
        <v>18</v>
      </c>
      <c r="B8" s="18" t="s">
        <v>58</v>
      </c>
      <c r="C8" s="44">
        <v>2181</v>
      </c>
      <c r="D8" s="18">
        <v>33</v>
      </c>
      <c r="E8" s="18">
        <v>36</v>
      </c>
      <c r="F8" s="18">
        <f t="shared" si="0"/>
        <v>69</v>
      </c>
      <c r="H8" s="43" t="s">
        <v>18</v>
      </c>
      <c r="I8" s="18" t="s">
        <v>58</v>
      </c>
      <c r="J8" s="42">
        <v>-2502.85</v>
      </c>
      <c r="K8" s="18">
        <v>22</v>
      </c>
      <c r="L8" s="18">
        <v>43</v>
      </c>
      <c r="M8" s="18">
        <f t="shared" si="1"/>
        <v>65</v>
      </c>
    </row>
    <row r="9" spans="1:13" ht="15.75" customHeight="1" x14ac:dyDescent="0.3">
      <c r="A9" s="41" t="s">
        <v>20</v>
      </c>
      <c r="B9" s="17" t="s">
        <v>58</v>
      </c>
      <c r="C9" s="44">
        <v>1613.95</v>
      </c>
      <c r="D9" s="17">
        <v>31</v>
      </c>
      <c r="E9" s="17">
        <v>34</v>
      </c>
      <c r="F9" s="17">
        <f t="shared" si="0"/>
        <v>65</v>
      </c>
      <c r="H9" s="41" t="s">
        <v>20</v>
      </c>
      <c r="I9" s="17" t="s">
        <v>58</v>
      </c>
      <c r="J9" s="42">
        <v>-2432.4499999999998</v>
      </c>
      <c r="K9" s="17">
        <v>21</v>
      </c>
      <c r="L9" s="17">
        <v>53</v>
      </c>
      <c r="M9" s="17">
        <f t="shared" si="1"/>
        <v>74</v>
      </c>
    </row>
    <row r="10" spans="1:13" ht="15.75" customHeight="1" x14ac:dyDescent="0.3">
      <c r="A10" s="43" t="s">
        <v>22</v>
      </c>
      <c r="B10" s="18" t="s">
        <v>58</v>
      </c>
      <c r="C10" s="42">
        <v>-508.9</v>
      </c>
      <c r="D10" s="18">
        <v>27</v>
      </c>
      <c r="E10" s="18">
        <v>46</v>
      </c>
      <c r="F10" s="18">
        <f t="shared" si="0"/>
        <v>73</v>
      </c>
      <c r="H10" s="43" t="s">
        <v>22</v>
      </c>
      <c r="I10" s="18" t="s">
        <v>58</v>
      </c>
      <c r="J10" s="44">
        <v>1132.8</v>
      </c>
      <c r="K10" s="18">
        <v>37</v>
      </c>
      <c r="L10" s="18">
        <v>34</v>
      </c>
      <c r="M10" s="18">
        <f t="shared" si="1"/>
        <v>71</v>
      </c>
    </row>
    <row r="11" spans="1:13" ht="15.75" customHeight="1" x14ac:dyDescent="0.3">
      <c r="A11" s="41" t="s">
        <v>24</v>
      </c>
      <c r="B11" s="17" t="s">
        <v>58</v>
      </c>
      <c r="C11" s="44">
        <v>1256.31</v>
      </c>
      <c r="D11" s="17">
        <v>31</v>
      </c>
      <c r="E11" s="17">
        <v>39</v>
      </c>
      <c r="F11" s="17">
        <f t="shared" si="0"/>
        <v>70</v>
      </c>
      <c r="H11" s="41" t="s">
        <v>24</v>
      </c>
      <c r="I11" s="17" t="s">
        <v>58</v>
      </c>
      <c r="J11" s="42">
        <v>-1329.52</v>
      </c>
      <c r="K11" s="17">
        <v>29</v>
      </c>
      <c r="L11" s="17">
        <v>39</v>
      </c>
      <c r="M11" s="17">
        <f t="shared" si="1"/>
        <v>68</v>
      </c>
    </row>
    <row r="12" spans="1:13" ht="15.75" customHeight="1" x14ac:dyDescent="0.3">
      <c r="A12" s="43" t="s">
        <v>26</v>
      </c>
      <c r="B12" s="18" t="s">
        <v>58</v>
      </c>
      <c r="C12" s="44">
        <v>1916.95</v>
      </c>
      <c r="D12" s="18">
        <v>32</v>
      </c>
      <c r="E12" s="18">
        <v>31</v>
      </c>
      <c r="F12" s="18">
        <f t="shared" si="0"/>
        <v>63</v>
      </c>
      <c r="H12" s="43" t="s">
        <v>26</v>
      </c>
      <c r="I12" s="18" t="s">
        <v>58</v>
      </c>
      <c r="J12" s="44">
        <v>926.5</v>
      </c>
      <c r="K12" s="18">
        <v>29</v>
      </c>
      <c r="L12" s="18">
        <v>33</v>
      </c>
      <c r="M12" s="18">
        <f t="shared" si="1"/>
        <v>62</v>
      </c>
    </row>
    <row r="13" spans="1:13" ht="15.75" customHeight="1" x14ac:dyDescent="0.3">
      <c r="A13" s="41" t="s">
        <v>28</v>
      </c>
      <c r="B13" s="17" t="s">
        <v>58</v>
      </c>
      <c r="C13" s="42">
        <v>-2812.7</v>
      </c>
      <c r="D13" s="17">
        <v>23</v>
      </c>
      <c r="E13" s="17">
        <v>47</v>
      </c>
      <c r="F13" s="17">
        <f t="shared" si="0"/>
        <v>70</v>
      </c>
      <c r="H13" s="41" t="s">
        <v>28</v>
      </c>
      <c r="I13" s="17" t="s">
        <v>58</v>
      </c>
      <c r="J13" s="42">
        <v>-1461.4</v>
      </c>
      <c r="K13" s="17">
        <v>23</v>
      </c>
      <c r="L13" s="17">
        <v>45</v>
      </c>
      <c r="M13" s="17">
        <f t="shared" si="1"/>
        <v>68</v>
      </c>
    </row>
    <row r="14" spans="1:13" ht="15.75" customHeight="1" x14ac:dyDescent="0.3">
      <c r="A14" s="43" t="s">
        <v>30</v>
      </c>
      <c r="B14" s="18" t="s">
        <v>58</v>
      </c>
      <c r="C14" s="44">
        <v>755.25</v>
      </c>
      <c r="D14" s="18">
        <v>29</v>
      </c>
      <c r="E14" s="18">
        <v>34</v>
      </c>
      <c r="F14" s="18">
        <f t="shared" si="0"/>
        <v>63</v>
      </c>
      <c r="H14" s="43" t="s">
        <v>30</v>
      </c>
      <c r="I14" s="18" t="s">
        <v>58</v>
      </c>
      <c r="J14" s="42">
        <v>-454.1</v>
      </c>
      <c r="K14" s="18">
        <v>31</v>
      </c>
      <c r="L14" s="18">
        <v>38</v>
      </c>
      <c r="M14" s="18">
        <f t="shared" si="1"/>
        <v>69</v>
      </c>
    </row>
    <row r="15" spans="1:13" ht="15.75" customHeight="1" x14ac:dyDescent="0.3">
      <c r="A15" s="41" t="s">
        <v>32</v>
      </c>
      <c r="B15" s="17" t="s">
        <v>58</v>
      </c>
      <c r="C15" s="44">
        <v>1724.6</v>
      </c>
      <c r="D15" s="17">
        <v>30</v>
      </c>
      <c r="E15" s="17">
        <v>35</v>
      </c>
      <c r="F15" s="17">
        <f t="shared" si="0"/>
        <v>65</v>
      </c>
      <c r="H15" s="41" t="s">
        <v>32</v>
      </c>
      <c r="I15" s="17" t="s">
        <v>58</v>
      </c>
      <c r="J15" s="42">
        <v>-1195.05</v>
      </c>
      <c r="K15" s="17">
        <v>28</v>
      </c>
      <c r="L15" s="17">
        <v>42</v>
      </c>
      <c r="M15" s="17">
        <f t="shared" si="1"/>
        <v>70</v>
      </c>
    </row>
    <row r="16" spans="1:13" ht="15.75" customHeight="1" x14ac:dyDescent="0.3">
      <c r="A16" s="43" t="s">
        <v>34</v>
      </c>
      <c r="B16" s="18" t="s">
        <v>58</v>
      </c>
      <c r="C16" s="44">
        <v>2194.0500000000002</v>
      </c>
      <c r="D16" s="18">
        <v>30</v>
      </c>
      <c r="E16" s="18">
        <v>31</v>
      </c>
      <c r="F16" s="18">
        <f t="shared" si="0"/>
        <v>61</v>
      </c>
      <c r="H16" s="43" t="s">
        <v>34</v>
      </c>
      <c r="I16" s="18" t="s">
        <v>58</v>
      </c>
      <c r="J16" s="44">
        <v>290.56</v>
      </c>
      <c r="K16" s="18">
        <v>30</v>
      </c>
      <c r="L16" s="18">
        <v>37</v>
      </c>
      <c r="M16" s="18">
        <f t="shared" si="1"/>
        <v>67</v>
      </c>
    </row>
    <row r="17" spans="1:13" ht="15.75" customHeight="1" x14ac:dyDescent="0.3">
      <c r="A17" s="41" t="s">
        <v>36</v>
      </c>
      <c r="B17" s="17" t="s">
        <v>58</v>
      </c>
      <c r="C17" s="44">
        <v>1798.27</v>
      </c>
      <c r="D17" s="17">
        <v>31</v>
      </c>
      <c r="E17" s="17">
        <v>38</v>
      </c>
      <c r="F17" s="17">
        <f t="shared" si="0"/>
        <v>69</v>
      </c>
      <c r="H17" s="41" t="s">
        <v>36</v>
      </c>
      <c r="I17" s="17" t="s">
        <v>58</v>
      </c>
      <c r="J17" s="42">
        <v>-986</v>
      </c>
      <c r="K17" s="17">
        <v>28</v>
      </c>
      <c r="L17" s="17">
        <v>38</v>
      </c>
      <c r="M17" s="17">
        <f t="shared" si="1"/>
        <v>66</v>
      </c>
    </row>
    <row r="18" spans="1:13" ht="15.75" customHeight="1" x14ac:dyDescent="0.3">
      <c r="A18" s="43" t="s">
        <v>38</v>
      </c>
      <c r="B18" s="18" t="s">
        <v>58</v>
      </c>
      <c r="C18" s="44">
        <v>3135.25</v>
      </c>
      <c r="D18" s="18">
        <v>37</v>
      </c>
      <c r="E18" s="18">
        <v>20</v>
      </c>
      <c r="F18" s="18">
        <f t="shared" si="0"/>
        <v>57</v>
      </c>
      <c r="H18" s="43" t="s">
        <v>38</v>
      </c>
      <c r="I18" s="18" t="s">
        <v>58</v>
      </c>
      <c r="J18" s="42">
        <v>-1272.6500000000001</v>
      </c>
      <c r="K18" s="18">
        <v>28</v>
      </c>
      <c r="L18" s="18">
        <v>37</v>
      </c>
      <c r="M18" s="18">
        <f t="shared" si="1"/>
        <v>65</v>
      </c>
    </row>
    <row r="19" spans="1:13" ht="15.75" customHeight="1" x14ac:dyDescent="0.3">
      <c r="A19" s="41" t="s">
        <v>40</v>
      </c>
      <c r="B19" s="17" t="s">
        <v>58</v>
      </c>
      <c r="C19" s="44">
        <v>1788.3</v>
      </c>
      <c r="D19" s="17">
        <v>32</v>
      </c>
      <c r="E19" s="17">
        <v>30</v>
      </c>
      <c r="F19" s="17">
        <f t="shared" si="0"/>
        <v>62</v>
      </c>
      <c r="H19" s="41" t="s">
        <v>40</v>
      </c>
      <c r="I19" s="17" t="s">
        <v>58</v>
      </c>
      <c r="J19" s="42">
        <v>-2206.4499999999998</v>
      </c>
      <c r="K19" s="17">
        <v>24</v>
      </c>
      <c r="L19" s="17">
        <v>43</v>
      </c>
      <c r="M19" s="17">
        <f t="shared" si="1"/>
        <v>67</v>
      </c>
    </row>
    <row r="20" spans="1:13" ht="15.75" customHeight="1" x14ac:dyDescent="0.3">
      <c r="A20" s="43" t="s">
        <v>42</v>
      </c>
      <c r="B20" s="18" t="s">
        <v>58</v>
      </c>
      <c r="C20" s="42">
        <v>-196</v>
      </c>
      <c r="D20" s="18">
        <v>32</v>
      </c>
      <c r="E20" s="18">
        <v>37</v>
      </c>
      <c r="F20" s="18">
        <f t="shared" si="0"/>
        <v>69</v>
      </c>
      <c r="H20" s="43" t="s">
        <v>42</v>
      </c>
      <c r="I20" s="18" t="s">
        <v>58</v>
      </c>
      <c r="J20" s="44">
        <v>830.55</v>
      </c>
      <c r="K20" s="18">
        <v>27</v>
      </c>
      <c r="L20" s="18">
        <v>36</v>
      </c>
      <c r="M20" s="18">
        <f t="shared" si="1"/>
        <v>63</v>
      </c>
    </row>
    <row r="21" spans="1:13" ht="15.75" customHeight="1" x14ac:dyDescent="0.3">
      <c r="A21" s="41" t="s">
        <v>44</v>
      </c>
      <c r="B21" s="17" t="s">
        <v>58</v>
      </c>
      <c r="C21" s="44">
        <v>1618.95</v>
      </c>
      <c r="D21" s="17">
        <v>33</v>
      </c>
      <c r="E21" s="17">
        <v>22</v>
      </c>
      <c r="F21" s="17">
        <f t="shared" si="0"/>
        <v>55</v>
      </c>
      <c r="H21" s="41" t="s">
        <v>44</v>
      </c>
      <c r="I21" s="17" t="s">
        <v>58</v>
      </c>
      <c r="J21" s="42">
        <v>-396</v>
      </c>
      <c r="K21" s="17">
        <v>27</v>
      </c>
      <c r="L21" s="17">
        <v>30</v>
      </c>
      <c r="M21" s="17">
        <f t="shared" si="1"/>
        <v>57</v>
      </c>
    </row>
    <row r="22" spans="1:13" ht="24" customHeight="1" x14ac:dyDescent="0.3">
      <c r="A22" s="45" t="s">
        <v>59</v>
      </c>
      <c r="B22" s="45"/>
      <c r="C22" s="21">
        <f>SUM(C7:C21)</f>
        <v>18142.830000000002</v>
      </c>
      <c r="D22" s="45">
        <f>SUM(D7:D21)</f>
        <v>459</v>
      </c>
      <c r="E22" s="45">
        <f>SUM(E7:E21)</f>
        <v>513</v>
      </c>
      <c r="F22" s="45">
        <f>SUM(F7:F21)</f>
        <v>972</v>
      </c>
      <c r="H22" s="45" t="s">
        <v>59</v>
      </c>
      <c r="I22" s="45"/>
      <c r="J22" s="23">
        <f>SUM(J7:J21)</f>
        <v>-9698.7099999999991</v>
      </c>
      <c r="K22" s="45">
        <f>SUM(K7:K21)</f>
        <v>414</v>
      </c>
      <c r="L22" s="45">
        <f>SUM(L7:L21)</f>
        <v>582</v>
      </c>
      <c r="M22" s="45">
        <f>SUM(M7:M21)</f>
        <v>996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4">
        <v>1005.85</v>
      </c>
      <c r="D27" s="18">
        <v>32</v>
      </c>
      <c r="E27" s="18">
        <v>36</v>
      </c>
      <c r="F27" s="18">
        <f t="shared" ref="F27:F41" si="2">SUM(D27,E27)</f>
        <v>68</v>
      </c>
      <c r="H27" s="43" t="s">
        <v>16</v>
      </c>
      <c r="I27" s="18" t="s">
        <v>58</v>
      </c>
      <c r="J27" s="44">
        <v>2684.65</v>
      </c>
      <c r="K27" s="18">
        <v>32</v>
      </c>
      <c r="L27" s="18">
        <v>28</v>
      </c>
      <c r="M27" s="18">
        <f t="shared" ref="M27:M41" si="3">SUM(K27,L27)</f>
        <v>60</v>
      </c>
    </row>
    <row r="28" spans="1:13" ht="15.75" customHeight="1" x14ac:dyDescent="0.3">
      <c r="A28" s="41" t="s">
        <v>18</v>
      </c>
      <c r="B28" s="17" t="s">
        <v>58</v>
      </c>
      <c r="C28" s="42">
        <v>-777.2</v>
      </c>
      <c r="D28" s="17">
        <v>30</v>
      </c>
      <c r="E28" s="17">
        <v>38</v>
      </c>
      <c r="F28" s="17">
        <f t="shared" si="2"/>
        <v>68</v>
      </c>
      <c r="H28" s="41" t="s">
        <v>18</v>
      </c>
      <c r="I28" s="17" t="s">
        <v>58</v>
      </c>
      <c r="J28" s="44">
        <v>109.4</v>
      </c>
      <c r="K28" s="17">
        <v>25</v>
      </c>
      <c r="L28" s="17">
        <v>36</v>
      </c>
      <c r="M28" s="17">
        <f t="shared" si="3"/>
        <v>61</v>
      </c>
    </row>
    <row r="29" spans="1:13" ht="15.75" customHeight="1" x14ac:dyDescent="0.3">
      <c r="A29" s="43" t="s">
        <v>20</v>
      </c>
      <c r="B29" s="18" t="s">
        <v>58</v>
      </c>
      <c r="C29" s="42">
        <v>-1684.95</v>
      </c>
      <c r="D29" s="18">
        <v>29</v>
      </c>
      <c r="E29" s="18">
        <v>48</v>
      </c>
      <c r="F29" s="18">
        <f t="shared" si="2"/>
        <v>77</v>
      </c>
      <c r="H29" s="43" t="s">
        <v>20</v>
      </c>
      <c r="I29" s="18" t="s">
        <v>58</v>
      </c>
      <c r="J29" s="44">
        <v>1536.8</v>
      </c>
      <c r="K29" s="18">
        <v>38</v>
      </c>
      <c r="L29" s="18">
        <v>40</v>
      </c>
      <c r="M29" s="18">
        <f t="shared" si="3"/>
        <v>78</v>
      </c>
    </row>
    <row r="30" spans="1:13" ht="15.75" customHeight="1" x14ac:dyDescent="0.3">
      <c r="A30" s="41" t="s">
        <v>22</v>
      </c>
      <c r="B30" s="17" t="s">
        <v>58</v>
      </c>
      <c r="C30" s="42">
        <v>-226.35</v>
      </c>
      <c r="D30" s="17">
        <v>29</v>
      </c>
      <c r="E30" s="17">
        <v>40</v>
      </c>
      <c r="F30" s="17">
        <f t="shared" si="2"/>
        <v>69</v>
      </c>
      <c r="H30" s="41" t="s">
        <v>22</v>
      </c>
      <c r="I30" s="17" t="s">
        <v>58</v>
      </c>
      <c r="J30" s="44">
        <v>1668.05</v>
      </c>
      <c r="K30" s="17">
        <v>33</v>
      </c>
      <c r="L30" s="17">
        <v>37</v>
      </c>
      <c r="M30" s="17">
        <f t="shared" si="3"/>
        <v>70</v>
      </c>
    </row>
    <row r="31" spans="1:13" ht="15.75" customHeight="1" x14ac:dyDescent="0.3">
      <c r="A31" s="43" t="s">
        <v>24</v>
      </c>
      <c r="B31" s="18" t="s">
        <v>58</v>
      </c>
      <c r="C31" s="42">
        <v>-3222</v>
      </c>
      <c r="D31" s="18">
        <v>27</v>
      </c>
      <c r="E31" s="18">
        <v>52</v>
      </c>
      <c r="F31" s="18">
        <f t="shared" si="2"/>
        <v>79</v>
      </c>
      <c r="H31" s="43" t="s">
        <v>24</v>
      </c>
      <c r="I31" s="18" t="s">
        <v>58</v>
      </c>
      <c r="J31" s="44">
        <v>2918.35</v>
      </c>
      <c r="K31" s="18">
        <v>33</v>
      </c>
      <c r="L31" s="18">
        <v>32</v>
      </c>
      <c r="M31" s="18">
        <f t="shared" si="3"/>
        <v>65</v>
      </c>
    </row>
    <row r="32" spans="1:13" ht="15.75" customHeight="1" x14ac:dyDescent="0.3">
      <c r="A32" s="41" t="s">
        <v>26</v>
      </c>
      <c r="B32" s="17" t="s">
        <v>58</v>
      </c>
      <c r="C32" s="42">
        <v>-3199.35</v>
      </c>
      <c r="D32" s="17">
        <v>22</v>
      </c>
      <c r="E32" s="17">
        <v>41</v>
      </c>
      <c r="F32" s="17">
        <f t="shared" si="2"/>
        <v>63</v>
      </c>
      <c r="H32" s="41" t="s">
        <v>26</v>
      </c>
      <c r="I32" s="17" t="s">
        <v>58</v>
      </c>
      <c r="J32" s="44">
        <v>2486.9499999999998</v>
      </c>
      <c r="K32" s="17">
        <v>40</v>
      </c>
      <c r="L32" s="17">
        <v>22</v>
      </c>
      <c r="M32" s="17">
        <f t="shared" si="3"/>
        <v>62</v>
      </c>
    </row>
    <row r="33" spans="1:13" ht="15.75" customHeight="1" x14ac:dyDescent="0.3">
      <c r="A33" s="43" t="s">
        <v>28</v>
      </c>
      <c r="B33" s="18" t="s">
        <v>58</v>
      </c>
      <c r="C33" s="44">
        <v>977.65</v>
      </c>
      <c r="D33" s="18">
        <v>30</v>
      </c>
      <c r="E33" s="18">
        <v>39</v>
      </c>
      <c r="F33" s="18">
        <f t="shared" si="2"/>
        <v>69</v>
      </c>
      <c r="H33" s="43" t="s">
        <v>28</v>
      </c>
      <c r="I33" s="18" t="s">
        <v>58</v>
      </c>
      <c r="J33" s="44">
        <v>1533.95</v>
      </c>
      <c r="K33" s="18">
        <v>33</v>
      </c>
      <c r="L33" s="18">
        <v>27</v>
      </c>
      <c r="M33" s="18">
        <f t="shared" si="3"/>
        <v>60</v>
      </c>
    </row>
    <row r="34" spans="1:13" ht="15.75" customHeight="1" x14ac:dyDescent="0.3">
      <c r="A34" s="41" t="s">
        <v>30</v>
      </c>
      <c r="B34" s="17" t="s">
        <v>58</v>
      </c>
      <c r="C34" s="44">
        <v>2127.15</v>
      </c>
      <c r="D34" s="17">
        <v>31</v>
      </c>
      <c r="E34" s="17">
        <v>33</v>
      </c>
      <c r="F34" s="17">
        <f t="shared" si="2"/>
        <v>64</v>
      </c>
      <c r="H34" s="41" t="s">
        <v>30</v>
      </c>
      <c r="I34" s="17" t="s">
        <v>58</v>
      </c>
      <c r="J34" s="42">
        <v>-955.8</v>
      </c>
      <c r="K34" s="17">
        <v>27</v>
      </c>
      <c r="L34" s="17">
        <v>38</v>
      </c>
      <c r="M34" s="17">
        <f t="shared" si="3"/>
        <v>65</v>
      </c>
    </row>
    <row r="35" spans="1:13" ht="15.75" customHeight="1" x14ac:dyDescent="0.3">
      <c r="A35" s="43" t="s">
        <v>32</v>
      </c>
      <c r="B35" s="18" t="s">
        <v>58</v>
      </c>
      <c r="C35" s="42">
        <v>-1142.3499999999999</v>
      </c>
      <c r="D35" s="18">
        <v>28</v>
      </c>
      <c r="E35" s="18">
        <v>38</v>
      </c>
      <c r="F35" s="18">
        <f t="shared" si="2"/>
        <v>66</v>
      </c>
      <c r="H35" s="43" t="s">
        <v>32</v>
      </c>
      <c r="I35" s="18" t="s">
        <v>58</v>
      </c>
      <c r="J35" s="44">
        <v>3041.3</v>
      </c>
      <c r="K35" s="18">
        <v>35</v>
      </c>
      <c r="L35" s="18">
        <v>28</v>
      </c>
      <c r="M35" s="18">
        <f t="shared" si="3"/>
        <v>63</v>
      </c>
    </row>
    <row r="36" spans="1:13" ht="15.75" customHeight="1" x14ac:dyDescent="0.3">
      <c r="A36" s="41" t="s">
        <v>34</v>
      </c>
      <c r="B36" s="17" t="s">
        <v>58</v>
      </c>
      <c r="C36" s="44">
        <v>548.48</v>
      </c>
      <c r="D36" s="17">
        <v>30</v>
      </c>
      <c r="E36" s="17">
        <v>42</v>
      </c>
      <c r="F36" s="17">
        <f t="shared" si="2"/>
        <v>72</v>
      </c>
      <c r="H36" s="41" t="s">
        <v>34</v>
      </c>
      <c r="I36" s="17" t="s">
        <v>58</v>
      </c>
      <c r="J36" s="42">
        <v>-493.65</v>
      </c>
      <c r="K36" s="17">
        <v>33</v>
      </c>
      <c r="L36" s="17">
        <v>37</v>
      </c>
      <c r="M36" s="17">
        <f t="shared" si="3"/>
        <v>70</v>
      </c>
    </row>
    <row r="37" spans="1:13" ht="15.75" customHeight="1" x14ac:dyDescent="0.3">
      <c r="A37" s="43" t="s">
        <v>36</v>
      </c>
      <c r="B37" s="18" t="s">
        <v>58</v>
      </c>
      <c r="C37" s="42">
        <v>-2292.15</v>
      </c>
      <c r="D37" s="18">
        <v>27</v>
      </c>
      <c r="E37" s="18">
        <v>45</v>
      </c>
      <c r="F37" s="18">
        <f t="shared" si="2"/>
        <v>72</v>
      </c>
      <c r="H37" s="43" t="s">
        <v>36</v>
      </c>
      <c r="I37" s="18" t="s">
        <v>58</v>
      </c>
      <c r="J37" s="44">
        <v>2280.9</v>
      </c>
      <c r="K37" s="18">
        <v>35</v>
      </c>
      <c r="L37" s="18">
        <v>32</v>
      </c>
      <c r="M37" s="18">
        <f t="shared" si="3"/>
        <v>67</v>
      </c>
    </row>
    <row r="38" spans="1:13" ht="15.75" customHeight="1" x14ac:dyDescent="0.3">
      <c r="A38" s="41" t="s">
        <v>38</v>
      </c>
      <c r="B38" s="17" t="s">
        <v>58</v>
      </c>
      <c r="C38" s="44">
        <v>1166.8499999999999</v>
      </c>
      <c r="D38" s="17">
        <v>38</v>
      </c>
      <c r="E38" s="17">
        <v>33</v>
      </c>
      <c r="F38" s="17">
        <f t="shared" si="2"/>
        <v>71</v>
      </c>
      <c r="H38" s="41" t="s">
        <v>38</v>
      </c>
      <c r="I38" s="17" t="s">
        <v>58</v>
      </c>
      <c r="J38" s="44">
        <v>882.35</v>
      </c>
      <c r="K38" s="17">
        <v>34</v>
      </c>
      <c r="L38" s="17">
        <v>32</v>
      </c>
      <c r="M38" s="17">
        <f t="shared" si="3"/>
        <v>66</v>
      </c>
    </row>
    <row r="39" spans="1:13" ht="15.75" customHeight="1" x14ac:dyDescent="0.3">
      <c r="A39" s="43" t="s">
        <v>40</v>
      </c>
      <c r="B39" s="18" t="s">
        <v>58</v>
      </c>
      <c r="C39" s="42">
        <v>-1102.5</v>
      </c>
      <c r="D39" s="18">
        <v>27</v>
      </c>
      <c r="E39" s="18">
        <v>40</v>
      </c>
      <c r="F39" s="18">
        <f t="shared" si="2"/>
        <v>67</v>
      </c>
      <c r="H39" s="43" t="s">
        <v>40</v>
      </c>
      <c r="I39" s="18" t="s">
        <v>58</v>
      </c>
      <c r="J39" s="44">
        <v>711.45</v>
      </c>
      <c r="K39" s="18">
        <v>29</v>
      </c>
      <c r="L39" s="18">
        <v>40</v>
      </c>
      <c r="M39" s="18">
        <f t="shared" si="3"/>
        <v>69</v>
      </c>
    </row>
    <row r="40" spans="1:13" ht="15.75" customHeight="1" x14ac:dyDescent="0.3">
      <c r="A40" s="41" t="s">
        <v>42</v>
      </c>
      <c r="B40" s="17" t="s">
        <v>58</v>
      </c>
      <c r="C40" s="44">
        <v>164.55</v>
      </c>
      <c r="D40" s="17">
        <v>32</v>
      </c>
      <c r="E40" s="17">
        <v>35</v>
      </c>
      <c r="F40" s="17">
        <f t="shared" si="2"/>
        <v>67</v>
      </c>
      <c r="H40" s="41" t="s">
        <v>42</v>
      </c>
      <c r="I40" s="17" t="s">
        <v>58</v>
      </c>
      <c r="J40" s="44">
        <v>974.3</v>
      </c>
      <c r="K40" s="17">
        <v>31</v>
      </c>
      <c r="L40" s="17">
        <v>30</v>
      </c>
      <c r="M40" s="17">
        <f t="shared" si="3"/>
        <v>61</v>
      </c>
    </row>
    <row r="41" spans="1:13" ht="15.75" customHeight="1" x14ac:dyDescent="0.3">
      <c r="A41" s="43" t="s">
        <v>44</v>
      </c>
      <c r="B41" s="18" t="s">
        <v>58</v>
      </c>
      <c r="C41" s="42">
        <v>-50.5</v>
      </c>
      <c r="D41" s="18">
        <v>33</v>
      </c>
      <c r="E41" s="18">
        <v>33</v>
      </c>
      <c r="F41" s="18">
        <f t="shared" si="2"/>
        <v>66</v>
      </c>
      <c r="H41" s="43" t="s">
        <v>44</v>
      </c>
      <c r="I41" s="18" t="s">
        <v>58</v>
      </c>
      <c r="J41" s="42">
        <v>-1214.7</v>
      </c>
      <c r="K41" s="18">
        <v>28</v>
      </c>
      <c r="L41" s="18">
        <v>38</v>
      </c>
      <c r="M41" s="18">
        <f t="shared" si="3"/>
        <v>66</v>
      </c>
    </row>
    <row r="42" spans="1:13" ht="24" customHeight="1" x14ac:dyDescent="0.3">
      <c r="A42" s="45" t="s">
        <v>59</v>
      </c>
      <c r="B42" s="45"/>
      <c r="C42" s="21">
        <f>SUM(C27:C41)</f>
        <v>-7706.8200000000006</v>
      </c>
      <c r="D42" s="45">
        <f>SUM(D27:D41)</f>
        <v>445</v>
      </c>
      <c r="E42" s="45">
        <f>SUM(E27:E41)</f>
        <v>593</v>
      </c>
      <c r="F42" s="45">
        <f>SUM(F27:F41)</f>
        <v>1038</v>
      </c>
      <c r="H42" s="45" t="s">
        <v>59</v>
      </c>
      <c r="I42" s="45"/>
      <c r="J42" s="21">
        <f>SUM(J27:J41)</f>
        <v>18164.3</v>
      </c>
      <c r="K42" s="45">
        <f>SUM(K27:K41)</f>
        <v>486</v>
      </c>
      <c r="L42" s="45">
        <f>SUM(L27:L41)</f>
        <v>497</v>
      </c>
      <c r="M42" s="45">
        <f>SUM(M27:M41)</f>
        <v>983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2">
        <v>-248.1</v>
      </c>
      <c r="D47" s="17">
        <v>27</v>
      </c>
      <c r="E47" s="17">
        <v>37</v>
      </c>
      <c r="F47" s="17">
        <f t="shared" ref="F47:F61" si="4">SUM(D47,E47)</f>
        <v>64</v>
      </c>
      <c r="H47" s="41" t="s">
        <v>16</v>
      </c>
      <c r="I47" s="17" t="s">
        <v>58</v>
      </c>
      <c r="J47" s="44">
        <v>610.35</v>
      </c>
      <c r="K47" s="17">
        <v>28</v>
      </c>
      <c r="L47" s="17">
        <v>35</v>
      </c>
      <c r="M47" s="17">
        <f t="shared" ref="M47:M61" si="5">SUM(K47,L47)</f>
        <v>63</v>
      </c>
    </row>
    <row r="48" spans="1:13" ht="15.75" customHeight="1" x14ac:dyDescent="0.3">
      <c r="A48" s="43" t="s">
        <v>18</v>
      </c>
      <c r="B48" s="18" t="s">
        <v>58</v>
      </c>
      <c r="C48" s="42">
        <v>-3664.75</v>
      </c>
      <c r="D48" s="18">
        <v>16</v>
      </c>
      <c r="E48" s="18">
        <v>49</v>
      </c>
      <c r="F48" s="18">
        <f t="shared" si="4"/>
        <v>65</v>
      </c>
      <c r="H48" s="43" t="s">
        <v>18</v>
      </c>
      <c r="I48" s="18" t="s">
        <v>58</v>
      </c>
      <c r="J48" s="44">
        <v>2519.9</v>
      </c>
      <c r="K48" s="18">
        <v>36</v>
      </c>
      <c r="L48" s="18">
        <v>31</v>
      </c>
      <c r="M48" s="18">
        <f t="shared" si="5"/>
        <v>67</v>
      </c>
    </row>
    <row r="49" spans="1:13" ht="15.75" customHeight="1" x14ac:dyDescent="0.3">
      <c r="A49" s="41" t="s">
        <v>20</v>
      </c>
      <c r="B49" s="17" t="s">
        <v>58</v>
      </c>
      <c r="C49" s="44">
        <v>3322.9</v>
      </c>
      <c r="D49" s="17">
        <v>35</v>
      </c>
      <c r="E49" s="17">
        <v>26</v>
      </c>
      <c r="F49" s="17">
        <f t="shared" si="4"/>
        <v>61</v>
      </c>
      <c r="H49" s="41" t="s">
        <v>20</v>
      </c>
      <c r="I49" s="17" t="s">
        <v>58</v>
      </c>
      <c r="J49" s="42">
        <v>-741.95</v>
      </c>
      <c r="K49" s="17">
        <v>26</v>
      </c>
      <c r="L49" s="17">
        <v>37</v>
      </c>
      <c r="M49" s="17">
        <f t="shared" si="5"/>
        <v>63</v>
      </c>
    </row>
    <row r="50" spans="1:13" ht="15.75" customHeight="1" x14ac:dyDescent="0.3">
      <c r="A50" s="43" t="s">
        <v>22</v>
      </c>
      <c r="B50" s="18" t="s">
        <v>58</v>
      </c>
      <c r="C50" s="42">
        <v>-1180.6500000000001</v>
      </c>
      <c r="D50" s="18">
        <v>24</v>
      </c>
      <c r="E50" s="18">
        <v>42</v>
      </c>
      <c r="F50" s="18">
        <f t="shared" si="4"/>
        <v>66</v>
      </c>
      <c r="H50" s="43" t="s">
        <v>22</v>
      </c>
      <c r="I50" s="18" t="s">
        <v>58</v>
      </c>
      <c r="J50" s="44">
        <v>721.2</v>
      </c>
      <c r="K50" s="18">
        <v>33</v>
      </c>
      <c r="L50" s="18">
        <v>37</v>
      </c>
      <c r="M50" s="18">
        <f t="shared" si="5"/>
        <v>70</v>
      </c>
    </row>
    <row r="51" spans="1:13" ht="15.75" customHeight="1" x14ac:dyDescent="0.3">
      <c r="A51" s="41" t="s">
        <v>24</v>
      </c>
      <c r="B51" s="17" t="s">
        <v>58</v>
      </c>
      <c r="C51" s="44">
        <v>452.65</v>
      </c>
      <c r="D51" s="17">
        <v>29</v>
      </c>
      <c r="E51" s="17">
        <v>34</v>
      </c>
      <c r="F51" s="17">
        <f t="shared" si="4"/>
        <v>63</v>
      </c>
      <c r="H51" s="41" t="s">
        <v>24</v>
      </c>
      <c r="I51" s="17" t="s">
        <v>58</v>
      </c>
      <c r="J51" s="44">
        <v>369.4</v>
      </c>
      <c r="K51" s="17">
        <v>31</v>
      </c>
      <c r="L51" s="17">
        <v>40</v>
      </c>
      <c r="M51" s="17">
        <f t="shared" si="5"/>
        <v>71</v>
      </c>
    </row>
    <row r="52" spans="1:13" ht="15.75" customHeight="1" x14ac:dyDescent="0.3">
      <c r="A52" s="43" t="s">
        <v>26</v>
      </c>
      <c r="B52" s="18" t="s">
        <v>58</v>
      </c>
      <c r="C52" s="44">
        <v>123.25</v>
      </c>
      <c r="D52" s="18">
        <v>30</v>
      </c>
      <c r="E52" s="18">
        <v>32</v>
      </c>
      <c r="F52" s="18">
        <f t="shared" si="4"/>
        <v>62</v>
      </c>
      <c r="H52" s="43" t="s">
        <v>26</v>
      </c>
      <c r="I52" s="18" t="s">
        <v>58</v>
      </c>
      <c r="J52" s="44">
        <v>752.05</v>
      </c>
      <c r="K52" s="18">
        <v>33</v>
      </c>
      <c r="L52" s="18">
        <v>31</v>
      </c>
      <c r="M52" s="18">
        <f t="shared" si="5"/>
        <v>64</v>
      </c>
    </row>
    <row r="53" spans="1:13" ht="15.75" customHeight="1" x14ac:dyDescent="0.3">
      <c r="A53" s="41" t="s">
        <v>28</v>
      </c>
      <c r="B53" s="17" t="s">
        <v>58</v>
      </c>
      <c r="C53" s="44">
        <v>566.4</v>
      </c>
      <c r="D53" s="17">
        <v>29</v>
      </c>
      <c r="E53" s="17">
        <v>35</v>
      </c>
      <c r="F53" s="17">
        <f t="shared" si="4"/>
        <v>64</v>
      </c>
      <c r="H53" s="41" t="s">
        <v>28</v>
      </c>
      <c r="I53" s="17" t="s">
        <v>58</v>
      </c>
      <c r="J53" s="44">
        <v>3300.45</v>
      </c>
      <c r="K53" s="17">
        <v>33</v>
      </c>
      <c r="L53" s="17">
        <v>31</v>
      </c>
      <c r="M53" s="17">
        <f t="shared" si="5"/>
        <v>64</v>
      </c>
    </row>
    <row r="54" spans="1:13" ht="15.75" customHeight="1" x14ac:dyDescent="0.3">
      <c r="A54" s="43" t="s">
        <v>30</v>
      </c>
      <c r="B54" s="18" t="s">
        <v>58</v>
      </c>
      <c r="C54" s="44">
        <v>2300.0500000000002</v>
      </c>
      <c r="D54" s="18">
        <v>31</v>
      </c>
      <c r="E54" s="18">
        <v>36</v>
      </c>
      <c r="F54" s="18">
        <f t="shared" si="4"/>
        <v>67</v>
      </c>
      <c r="H54" s="43" t="s">
        <v>30</v>
      </c>
      <c r="I54" s="18" t="s">
        <v>58</v>
      </c>
      <c r="J54" s="42">
        <v>-717.75</v>
      </c>
      <c r="K54" s="18">
        <v>25</v>
      </c>
      <c r="L54" s="18">
        <v>41</v>
      </c>
      <c r="M54" s="18">
        <f t="shared" si="5"/>
        <v>66</v>
      </c>
    </row>
    <row r="55" spans="1:13" ht="15.75" customHeight="1" x14ac:dyDescent="0.3">
      <c r="A55" s="41" t="s">
        <v>32</v>
      </c>
      <c r="B55" s="17" t="s">
        <v>58</v>
      </c>
      <c r="C55" s="44">
        <v>2969.35</v>
      </c>
      <c r="D55" s="17">
        <v>32</v>
      </c>
      <c r="E55" s="17">
        <v>36</v>
      </c>
      <c r="F55" s="17">
        <f t="shared" si="4"/>
        <v>68</v>
      </c>
      <c r="H55" s="41" t="s">
        <v>32</v>
      </c>
      <c r="I55" s="17" t="s">
        <v>58</v>
      </c>
      <c r="J55" s="42">
        <v>-3707.85</v>
      </c>
      <c r="K55" s="17">
        <v>23</v>
      </c>
      <c r="L55" s="17">
        <v>47</v>
      </c>
      <c r="M55" s="17">
        <f t="shared" si="5"/>
        <v>70</v>
      </c>
    </row>
    <row r="56" spans="1:13" ht="15.75" customHeight="1" x14ac:dyDescent="0.3">
      <c r="A56" s="43" t="s">
        <v>34</v>
      </c>
      <c r="B56" s="18" t="s">
        <v>58</v>
      </c>
      <c r="C56" s="42">
        <v>-751.83</v>
      </c>
      <c r="D56" s="18">
        <v>28</v>
      </c>
      <c r="E56" s="18">
        <v>42</v>
      </c>
      <c r="F56" s="18">
        <f t="shared" si="4"/>
        <v>70</v>
      </c>
      <c r="H56" s="43" t="s">
        <v>34</v>
      </c>
      <c r="I56" s="18" t="s">
        <v>58</v>
      </c>
      <c r="J56" s="44">
        <v>618.11</v>
      </c>
      <c r="K56" s="18">
        <v>32</v>
      </c>
      <c r="L56" s="18">
        <v>30</v>
      </c>
      <c r="M56" s="18">
        <f t="shared" si="5"/>
        <v>62</v>
      </c>
    </row>
    <row r="57" spans="1:13" ht="15.75" customHeight="1" x14ac:dyDescent="0.3">
      <c r="A57" s="41" t="s">
        <v>36</v>
      </c>
      <c r="B57" s="17" t="s">
        <v>58</v>
      </c>
      <c r="C57" s="42">
        <v>-2001.35</v>
      </c>
      <c r="D57" s="17">
        <v>28</v>
      </c>
      <c r="E57" s="17">
        <v>44</v>
      </c>
      <c r="F57" s="17">
        <f t="shared" si="4"/>
        <v>72</v>
      </c>
      <c r="H57" s="41" t="s">
        <v>36</v>
      </c>
      <c r="I57" s="17" t="s">
        <v>58</v>
      </c>
      <c r="J57" s="42">
        <v>-425.35</v>
      </c>
      <c r="K57" s="17">
        <v>29</v>
      </c>
      <c r="L57" s="17">
        <v>39</v>
      </c>
      <c r="M57" s="17">
        <f t="shared" si="5"/>
        <v>68</v>
      </c>
    </row>
    <row r="58" spans="1:13" ht="15.75" customHeight="1" x14ac:dyDescent="0.3">
      <c r="A58" s="43" t="s">
        <v>38</v>
      </c>
      <c r="B58" s="18" t="s">
        <v>58</v>
      </c>
      <c r="C58" s="44">
        <v>2646.5</v>
      </c>
      <c r="D58" s="18">
        <v>33</v>
      </c>
      <c r="E58" s="18">
        <v>28</v>
      </c>
      <c r="F58" s="18">
        <f t="shared" si="4"/>
        <v>61</v>
      </c>
      <c r="H58" s="43" t="s">
        <v>38</v>
      </c>
      <c r="I58" s="18" t="s">
        <v>58</v>
      </c>
      <c r="J58" s="42">
        <v>-226.85</v>
      </c>
      <c r="K58" s="18">
        <v>25</v>
      </c>
      <c r="L58" s="18">
        <v>36</v>
      </c>
      <c r="M58" s="18">
        <f t="shared" si="5"/>
        <v>61</v>
      </c>
    </row>
    <row r="59" spans="1:13" ht="15.75" customHeight="1" x14ac:dyDescent="0.3">
      <c r="A59" s="41" t="s">
        <v>40</v>
      </c>
      <c r="B59" s="17" t="s">
        <v>58</v>
      </c>
      <c r="C59" s="44">
        <v>1731.9</v>
      </c>
      <c r="D59" s="17">
        <v>33</v>
      </c>
      <c r="E59" s="17">
        <v>28</v>
      </c>
      <c r="F59" s="17">
        <f t="shared" si="4"/>
        <v>61</v>
      </c>
      <c r="H59" s="41" t="s">
        <v>40</v>
      </c>
      <c r="I59" s="17" t="s">
        <v>58</v>
      </c>
      <c r="J59" s="42">
        <v>-455.55</v>
      </c>
      <c r="K59" s="17">
        <v>30</v>
      </c>
      <c r="L59" s="17">
        <v>37</v>
      </c>
      <c r="M59" s="17">
        <f t="shared" si="5"/>
        <v>67</v>
      </c>
    </row>
    <row r="60" spans="1:13" ht="15.75" customHeight="1" x14ac:dyDescent="0.3">
      <c r="A60" s="43" t="s">
        <v>42</v>
      </c>
      <c r="B60" s="18" t="s">
        <v>58</v>
      </c>
      <c r="C60" s="42">
        <v>-100.05</v>
      </c>
      <c r="D60" s="18">
        <v>23</v>
      </c>
      <c r="E60" s="18">
        <v>36</v>
      </c>
      <c r="F60" s="18">
        <f t="shared" si="4"/>
        <v>59</v>
      </c>
      <c r="H60" s="43" t="s">
        <v>42</v>
      </c>
      <c r="I60" s="18" t="s">
        <v>58</v>
      </c>
      <c r="J60" s="42">
        <v>-217.6</v>
      </c>
      <c r="K60" s="18">
        <v>26</v>
      </c>
      <c r="L60" s="18">
        <v>31</v>
      </c>
      <c r="M60" s="18">
        <f t="shared" si="5"/>
        <v>57</v>
      </c>
    </row>
    <row r="61" spans="1:13" ht="15.75" customHeight="1" x14ac:dyDescent="0.3">
      <c r="A61" s="41" t="s">
        <v>44</v>
      </c>
      <c r="B61" s="17" t="s">
        <v>58</v>
      </c>
      <c r="C61" s="44">
        <v>30.5</v>
      </c>
      <c r="D61" s="17">
        <v>26</v>
      </c>
      <c r="E61" s="17">
        <v>30</v>
      </c>
      <c r="F61" s="17">
        <f t="shared" si="4"/>
        <v>56</v>
      </c>
      <c r="H61" s="41" t="s">
        <v>44</v>
      </c>
      <c r="I61" s="17" t="s">
        <v>58</v>
      </c>
      <c r="J61" s="44">
        <v>1681.6</v>
      </c>
      <c r="K61" s="17">
        <v>31</v>
      </c>
      <c r="L61" s="17">
        <v>29</v>
      </c>
      <c r="M61" s="17">
        <f t="shared" si="5"/>
        <v>60</v>
      </c>
    </row>
    <row r="62" spans="1:13" ht="24" customHeight="1" x14ac:dyDescent="0.3">
      <c r="A62" s="45" t="s">
        <v>59</v>
      </c>
      <c r="B62" s="45"/>
      <c r="C62" s="21">
        <f>SUM(C47:C61)</f>
        <v>6196.7699999999995</v>
      </c>
      <c r="D62" s="45">
        <f>SUM(D47:D61)</f>
        <v>424</v>
      </c>
      <c r="E62" s="45">
        <f>SUM(E47:E61)</f>
        <v>535</v>
      </c>
      <c r="F62" s="45">
        <f>SUM(F47:F61)</f>
        <v>959</v>
      </c>
      <c r="H62" s="45" t="s">
        <v>59</v>
      </c>
      <c r="I62" s="45"/>
      <c r="J62" s="23">
        <f>SUM(J47:J61)</f>
        <v>4080.16</v>
      </c>
      <c r="K62" s="45">
        <f>SUM(K47:K61)</f>
        <v>441</v>
      </c>
      <c r="L62" s="45">
        <f>SUM(L47:L61)</f>
        <v>532</v>
      </c>
      <c r="M62" s="45">
        <f>SUM(M47:M61)</f>
        <v>973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2660.35</v>
      </c>
      <c r="D67" s="18">
        <v>31</v>
      </c>
      <c r="E67" s="18">
        <v>29</v>
      </c>
      <c r="F67" s="18">
        <f t="shared" ref="F67:F81" si="6">SUM(D67,E67)</f>
        <v>60</v>
      </c>
      <c r="H67" s="43" t="s">
        <v>16</v>
      </c>
      <c r="I67" s="18" t="s">
        <v>58</v>
      </c>
      <c r="J67" s="42">
        <v>-2411.35</v>
      </c>
      <c r="K67" s="18">
        <v>27</v>
      </c>
      <c r="L67" s="18">
        <v>38</v>
      </c>
      <c r="M67" s="18">
        <f t="shared" ref="M67:M81" si="7">SUM(K67,L67)</f>
        <v>65</v>
      </c>
    </row>
    <row r="68" spans="1:13" ht="15.75" customHeight="1" x14ac:dyDescent="0.3">
      <c r="A68" s="41" t="s">
        <v>18</v>
      </c>
      <c r="B68" s="17" t="s">
        <v>58</v>
      </c>
      <c r="C68" s="42">
        <v>-224.05</v>
      </c>
      <c r="D68" s="17">
        <v>21</v>
      </c>
      <c r="E68" s="17">
        <v>40</v>
      </c>
      <c r="F68" s="17">
        <f t="shared" si="6"/>
        <v>61</v>
      </c>
      <c r="H68" s="41" t="s">
        <v>18</v>
      </c>
      <c r="I68" s="17" t="s">
        <v>58</v>
      </c>
      <c r="J68" s="42">
        <v>-2937.4</v>
      </c>
      <c r="K68" s="17">
        <v>25</v>
      </c>
      <c r="L68" s="17">
        <v>44</v>
      </c>
      <c r="M68" s="17">
        <f t="shared" si="7"/>
        <v>69</v>
      </c>
    </row>
    <row r="69" spans="1:13" ht="15.75" customHeight="1" x14ac:dyDescent="0.3">
      <c r="A69" s="43" t="s">
        <v>20</v>
      </c>
      <c r="B69" s="18" t="s">
        <v>58</v>
      </c>
      <c r="C69" s="42">
        <v>-74.650000000000006</v>
      </c>
      <c r="D69" s="18">
        <v>23</v>
      </c>
      <c r="E69" s="18">
        <v>36</v>
      </c>
      <c r="F69" s="18">
        <f t="shared" si="6"/>
        <v>59</v>
      </c>
      <c r="H69" s="43" t="s">
        <v>20</v>
      </c>
      <c r="I69" s="18" t="s">
        <v>58</v>
      </c>
      <c r="J69" s="44">
        <v>3714.3</v>
      </c>
      <c r="K69" s="18">
        <v>34</v>
      </c>
      <c r="L69" s="18">
        <v>25</v>
      </c>
      <c r="M69" s="18">
        <f t="shared" si="7"/>
        <v>59</v>
      </c>
    </row>
    <row r="70" spans="1:13" ht="15.75" customHeight="1" x14ac:dyDescent="0.3">
      <c r="A70" s="41" t="s">
        <v>22</v>
      </c>
      <c r="B70" s="17" t="s">
        <v>58</v>
      </c>
      <c r="C70" s="42">
        <v>-344.35</v>
      </c>
      <c r="D70" s="17">
        <v>29</v>
      </c>
      <c r="E70" s="17">
        <v>39</v>
      </c>
      <c r="F70" s="17">
        <f t="shared" si="6"/>
        <v>68</v>
      </c>
      <c r="H70" s="41" t="s">
        <v>22</v>
      </c>
      <c r="I70" s="17" t="s">
        <v>58</v>
      </c>
      <c r="J70" s="44">
        <v>1394</v>
      </c>
      <c r="K70" s="17">
        <v>31</v>
      </c>
      <c r="L70" s="17">
        <v>34</v>
      </c>
      <c r="M70" s="17">
        <f t="shared" si="7"/>
        <v>65</v>
      </c>
    </row>
    <row r="71" spans="1:13" ht="15.75" customHeight="1" x14ac:dyDescent="0.3">
      <c r="A71" s="43" t="s">
        <v>24</v>
      </c>
      <c r="B71" s="18" t="s">
        <v>58</v>
      </c>
      <c r="C71" s="44">
        <v>301.75</v>
      </c>
      <c r="D71" s="18">
        <v>33</v>
      </c>
      <c r="E71" s="18">
        <v>45</v>
      </c>
      <c r="F71" s="18">
        <f t="shared" si="6"/>
        <v>78</v>
      </c>
      <c r="H71" s="43" t="s">
        <v>24</v>
      </c>
      <c r="I71" s="18" t="s">
        <v>58</v>
      </c>
      <c r="J71" s="44">
        <v>1510.25</v>
      </c>
      <c r="K71" s="18">
        <v>35</v>
      </c>
      <c r="L71" s="18">
        <v>50</v>
      </c>
      <c r="M71" s="18">
        <f t="shared" si="7"/>
        <v>85</v>
      </c>
    </row>
    <row r="72" spans="1:13" ht="15.75" customHeight="1" x14ac:dyDescent="0.3">
      <c r="A72" s="41" t="s">
        <v>26</v>
      </c>
      <c r="B72" s="17" t="s">
        <v>58</v>
      </c>
      <c r="C72" s="42">
        <v>-690.55</v>
      </c>
      <c r="D72" s="17">
        <v>31</v>
      </c>
      <c r="E72" s="17">
        <v>40</v>
      </c>
      <c r="F72" s="17">
        <f t="shared" si="6"/>
        <v>71</v>
      </c>
      <c r="H72" s="41" t="s">
        <v>26</v>
      </c>
      <c r="I72" s="17" t="s">
        <v>58</v>
      </c>
      <c r="J72" s="44">
        <v>768.25</v>
      </c>
      <c r="K72" s="17">
        <v>32</v>
      </c>
      <c r="L72" s="17">
        <v>35</v>
      </c>
      <c r="M72" s="17">
        <f t="shared" si="7"/>
        <v>67</v>
      </c>
    </row>
    <row r="73" spans="1:13" ht="15.75" customHeight="1" x14ac:dyDescent="0.3">
      <c r="A73" s="43" t="s">
        <v>28</v>
      </c>
      <c r="B73" s="18" t="s">
        <v>58</v>
      </c>
      <c r="C73" s="42">
        <v>-1655.85</v>
      </c>
      <c r="D73" s="18">
        <v>26</v>
      </c>
      <c r="E73" s="18">
        <v>49</v>
      </c>
      <c r="F73" s="18">
        <f t="shared" si="6"/>
        <v>75</v>
      </c>
      <c r="H73" s="43" t="s">
        <v>28</v>
      </c>
      <c r="I73" s="18" t="s">
        <v>58</v>
      </c>
      <c r="J73" s="44">
        <v>2099.75</v>
      </c>
      <c r="K73" s="18">
        <v>32</v>
      </c>
      <c r="L73" s="18">
        <v>39</v>
      </c>
      <c r="M73" s="18">
        <f t="shared" si="7"/>
        <v>71</v>
      </c>
    </row>
    <row r="74" spans="1:13" ht="15.75" customHeight="1" x14ac:dyDescent="0.3">
      <c r="A74" s="41" t="s">
        <v>30</v>
      </c>
      <c r="B74" s="17" t="s">
        <v>58</v>
      </c>
      <c r="C74" s="42">
        <v>-2976.95</v>
      </c>
      <c r="D74" s="17">
        <v>23</v>
      </c>
      <c r="E74" s="17">
        <v>46</v>
      </c>
      <c r="F74" s="17">
        <f t="shared" si="6"/>
        <v>69</v>
      </c>
      <c r="H74" s="41" t="s">
        <v>30</v>
      </c>
      <c r="I74" s="17" t="s">
        <v>58</v>
      </c>
      <c r="J74" s="42">
        <v>-44.25</v>
      </c>
      <c r="K74" s="17">
        <v>29</v>
      </c>
      <c r="L74" s="17">
        <v>40</v>
      </c>
      <c r="M74" s="17">
        <f t="shared" si="7"/>
        <v>69</v>
      </c>
    </row>
    <row r="75" spans="1:13" ht="15.75" customHeight="1" x14ac:dyDescent="0.3">
      <c r="A75" s="43" t="s">
        <v>32</v>
      </c>
      <c r="B75" s="18" t="s">
        <v>58</v>
      </c>
      <c r="C75" s="44">
        <v>1537.95</v>
      </c>
      <c r="D75" s="18">
        <v>26</v>
      </c>
      <c r="E75" s="18">
        <v>40</v>
      </c>
      <c r="F75" s="18">
        <f t="shared" si="6"/>
        <v>66</v>
      </c>
      <c r="H75" s="43" t="s">
        <v>32</v>
      </c>
      <c r="I75" s="18" t="s">
        <v>58</v>
      </c>
      <c r="J75" s="42">
        <v>-2254.25</v>
      </c>
      <c r="K75" s="18">
        <v>24</v>
      </c>
      <c r="L75" s="18">
        <v>43</v>
      </c>
      <c r="M75" s="18">
        <f t="shared" si="7"/>
        <v>67</v>
      </c>
    </row>
    <row r="76" spans="1:13" ht="15.75" customHeight="1" x14ac:dyDescent="0.3">
      <c r="A76" s="41" t="s">
        <v>34</v>
      </c>
      <c r="B76" s="17" t="s">
        <v>58</v>
      </c>
      <c r="C76" s="44">
        <v>258.55</v>
      </c>
      <c r="D76" s="17">
        <v>32</v>
      </c>
      <c r="E76" s="17">
        <v>36</v>
      </c>
      <c r="F76" s="17">
        <f t="shared" si="6"/>
        <v>68</v>
      </c>
      <c r="H76" s="41" t="s">
        <v>34</v>
      </c>
      <c r="I76" s="17" t="s">
        <v>58</v>
      </c>
      <c r="J76" s="42">
        <v>-203.15</v>
      </c>
      <c r="K76" s="17">
        <v>26</v>
      </c>
      <c r="L76" s="17">
        <v>48</v>
      </c>
      <c r="M76" s="17">
        <f t="shared" si="7"/>
        <v>74</v>
      </c>
    </row>
    <row r="77" spans="1:13" ht="15.75" customHeight="1" x14ac:dyDescent="0.3">
      <c r="A77" s="43" t="s">
        <v>36</v>
      </c>
      <c r="B77" s="18" t="s">
        <v>58</v>
      </c>
      <c r="C77" s="42">
        <v>-946.15</v>
      </c>
      <c r="D77" s="18">
        <v>30</v>
      </c>
      <c r="E77" s="18">
        <v>43</v>
      </c>
      <c r="F77" s="18">
        <f t="shared" si="6"/>
        <v>73</v>
      </c>
      <c r="H77" s="43" t="s">
        <v>36</v>
      </c>
      <c r="I77" s="18" t="s">
        <v>58</v>
      </c>
      <c r="J77" s="44">
        <v>423.35</v>
      </c>
      <c r="K77" s="18">
        <v>31</v>
      </c>
      <c r="L77" s="18">
        <v>46</v>
      </c>
      <c r="M77" s="18">
        <f t="shared" si="7"/>
        <v>77</v>
      </c>
    </row>
    <row r="78" spans="1:13" ht="15.75" customHeight="1" x14ac:dyDescent="0.3">
      <c r="A78" s="41" t="s">
        <v>38</v>
      </c>
      <c r="B78" s="17" t="s">
        <v>58</v>
      </c>
      <c r="C78" s="44">
        <v>5004.2</v>
      </c>
      <c r="D78" s="17">
        <v>41</v>
      </c>
      <c r="E78" s="17">
        <v>23</v>
      </c>
      <c r="F78" s="17">
        <f t="shared" si="6"/>
        <v>64</v>
      </c>
      <c r="H78" s="41" t="s">
        <v>38</v>
      </c>
      <c r="I78" s="17" t="s">
        <v>58</v>
      </c>
      <c r="J78" s="44">
        <v>180.8</v>
      </c>
      <c r="K78" s="17">
        <v>25</v>
      </c>
      <c r="L78" s="17">
        <v>39</v>
      </c>
      <c r="M78" s="17">
        <f t="shared" si="7"/>
        <v>64</v>
      </c>
    </row>
    <row r="79" spans="1:13" ht="15.75" customHeight="1" x14ac:dyDescent="0.3">
      <c r="A79" s="43" t="s">
        <v>40</v>
      </c>
      <c r="B79" s="18" t="s">
        <v>58</v>
      </c>
      <c r="C79" s="42">
        <v>-1624.8</v>
      </c>
      <c r="D79" s="18">
        <v>20</v>
      </c>
      <c r="E79" s="18">
        <v>45</v>
      </c>
      <c r="F79" s="18">
        <f t="shared" si="6"/>
        <v>65</v>
      </c>
      <c r="H79" s="43" t="s">
        <v>40</v>
      </c>
      <c r="I79" s="18" t="s">
        <v>58</v>
      </c>
      <c r="J79" s="44">
        <v>604.54999999999995</v>
      </c>
      <c r="K79" s="18">
        <v>27</v>
      </c>
      <c r="L79" s="18">
        <v>34</v>
      </c>
      <c r="M79" s="18">
        <f t="shared" si="7"/>
        <v>61</v>
      </c>
    </row>
    <row r="80" spans="1:13" ht="15.75" customHeight="1" x14ac:dyDescent="0.3">
      <c r="A80" s="41" t="s">
        <v>42</v>
      </c>
      <c r="B80" s="17" t="s">
        <v>58</v>
      </c>
      <c r="C80" s="44">
        <v>1125.4000000000001</v>
      </c>
      <c r="D80" s="17">
        <v>29</v>
      </c>
      <c r="E80" s="17">
        <v>26</v>
      </c>
      <c r="F80" s="17">
        <f t="shared" si="6"/>
        <v>55</v>
      </c>
      <c r="H80" s="41" t="s">
        <v>42</v>
      </c>
      <c r="I80" s="17" t="s">
        <v>58</v>
      </c>
      <c r="J80" s="42">
        <v>-358.8</v>
      </c>
      <c r="K80" s="17">
        <v>25</v>
      </c>
      <c r="L80" s="17">
        <v>39</v>
      </c>
      <c r="M80" s="17">
        <f t="shared" si="7"/>
        <v>64</v>
      </c>
    </row>
    <row r="81" spans="1:13" ht="15.75" customHeight="1" x14ac:dyDescent="0.3">
      <c r="A81" s="43" t="s">
        <v>44</v>
      </c>
      <c r="B81" s="18" t="s">
        <v>58</v>
      </c>
      <c r="C81" s="44">
        <v>449</v>
      </c>
      <c r="D81" s="18">
        <v>27</v>
      </c>
      <c r="E81" s="18">
        <v>32</v>
      </c>
      <c r="F81" s="18">
        <f t="shared" si="6"/>
        <v>59</v>
      </c>
      <c r="H81" s="43" t="s">
        <v>44</v>
      </c>
      <c r="I81" s="18" t="s">
        <v>58</v>
      </c>
      <c r="J81" s="44">
        <v>1209.5</v>
      </c>
      <c r="K81" s="18">
        <v>31</v>
      </c>
      <c r="L81" s="18">
        <v>37</v>
      </c>
      <c r="M81" s="18">
        <f t="shared" si="7"/>
        <v>68</v>
      </c>
    </row>
    <row r="82" spans="1:13" ht="24" customHeight="1" x14ac:dyDescent="0.3">
      <c r="A82" s="45" t="s">
        <v>59</v>
      </c>
      <c r="B82" s="45"/>
      <c r="C82" s="23">
        <f>SUM(C67:C81)</f>
        <v>2799.8499999999995</v>
      </c>
      <c r="D82" s="45">
        <f>SUM(D67:D81)</f>
        <v>422</v>
      </c>
      <c r="E82" s="45">
        <f>SUM(E67:E81)</f>
        <v>569</v>
      </c>
      <c r="F82" s="45">
        <f>SUM(F67:F81)</f>
        <v>991</v>
      </c>
      <c r="H82" s="45" t="s">
        <v>59</v>
      </c>
      <c r="I82" s="45"/>
      <c r="J82" s="21">
        <f>SUM(J67:J81)</f>
        <v>3695.55</v>
      </c>
      <c r="K82" s="45">
        <f>SUM(K67:K81)</f>
        <v>434</v>
      </c>
      <c r="L82" s="45">
        <f>SUM(L67:L81)</f>
        <v>591</v>
      </c>
      <c r="M82" s="45">
        <f>SUM(M67:M81)</f>
        <v>1025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19432.63</v>
      </c>
      <c r="E86" s="28">
        <f>SUM(D82,D62,D42,D22)</f>
        <v>1750</v>
      </c>
      <c r="F86" s="28">
        <f>SUM(E82,E62,E42,E22)</f>
        <v>2210</v>
      </c>
      <c r="G86" s="28">
        <f>SUM(E86:F86)</f>
        <v>3960</v>
      </c>
      <c r="H86" s="29">
        <f>E86/G86</f>
        <v>0.44191919191919193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16241.3</v>
      </c>
      <c r="E87" s="33">
        <f>SUM(K82,K62,K42,K22)</f>
        <v>1775</v>
      </c>
      <c r="F87" s="33">
        <f>SUM(L82,L62,L42,L22)</f>
        <v>2202</v>
      </c>
      <c r="G87" s="33">
        <f>SUM(E87:F87)</f>
        <v>3977</v>
      </c>
      <c r="H87" s="34">
        <f>E87/G87</f>
        <v>0.44631631883329143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35673.93</v>
      </c>
      <c r="E88" s="6">
        <f>SUM(E86:E87)</f>
        <v>3525</v>
      </c>
      <c r="F88" s="6">
        <f>SUM(F86:F87)</f>
        <v>4412</v>
      </c>
      <c r="G88" s="6">
        <f>SUM(G86:G87)</f>
        <v>7937</v>
      </c>
      <c r="H88" s="37">
        <f>AVERAGE(H86,H87)</f>
        <v>0.44411775537624165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M92"/>
  <sheetViews>
    <sheetView showGridLines="0" zoomScaleNormal="100" workbookViewId="0">
      <pane ySplit="2" topLeftCell="A68" activePane="bottomLeft" state="frozen"/>
      <selection pane="bottomLeft" activeCell="A2" sqref="A2:M2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.33203125" customWidth="1"/>
    <col min="4" max="4" width="8.5546875" customWidth="1"/>
    <col min="5" max="5" width="7" customWidth="1"/>
    <col min="6" max="6" width="11" customWidth="1"/>
    <col min="7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77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4">
        <v>1228.7</v>
      </c>
      <c r="D7" s="17">
        <v>9</v>
      </c>
      <c r="E7" s="17">
        <v>11</v>
      </c>
      <c r="F7" s="17">
        <f t="shared" ref="F7:F21" si="0">SUM(D7,E7)</f>
        <v>20</v>
      </c>
      <c r="H7" s="41" t="s">
        <v>16</v>
      </c>
      <c r="I7" s="17" t="s">
        <v>58</v>
      </c>
      <c r="J7" s="42">
        <v>-722.1</v>
      </c>
      <c r="K7" s="17">
        <v>8</v>
      </c>
      <c r="L7" s="17">
        <v>18</v>
      </c>
      <c r="M7" s="17">
        <f t="shared" ref="M7:M21" si="1">SUM(K7,L7)</f>
        <v>26</v>
      </c>
    </row>
    <row r="8" spans="1:13" ht="15.75" customHeight="1" x14ac:dyDescent="0.3">
      <c r="A8" s="43" t="s">
        <v>18</v>
      </c>
      <c r="B8" s="18" t="s">
        <v>58</v>
      </c>
      <c r="C8" s="42">
        <v>-231.55</v>
      </c>
      <c r="D8" s="18">
        <v>11</v>
      </c>
      <c r="E8" s="18">
        <v>19</v>
      </c>
      <c r="F8" s="18">
        <f t="shared" si="0"/>
        <v>30</v>
      </c>
      <c r="H8" s="43" t="s">
        <v>18</v>
      </c>
      <c r="I8" s="18" t="s">
        <v>58</v>
      </c>
      <c r="J8" s="42">
        <v>-893.5</v>
      </c>
      <c r="K8" s="18">
        <v>8</v>
      </c>
      <c r="L8" s="18">
        <v>22</v>
      </c>
      <c r="M8" s="18">
        <f t="shared" si="1"/>
        <v>30</v>
      </c>
    </row>
    <row r="9" spans="1:13" ht="15.75" customHeight="1" x14ac:dyDescent="0.3">
      <c r="A9" s="41" t="s">
        <v>20</v>
      </c>
      <c r="B9" s="17" t="s">
        <v>58</v>
      </c>
      <c r="C9" s="44">
        <v>1863.7</v>
      </c>
      <c r="D9" s="17">
        <v>13</v>
      </c>
      <c r="E9" s="17">
        <v>13</v>
      </c>
      <c r="F9" s="17">
        <f t="shared" si="0"/>
        <v>26</v>
      </c>
      <c r="H9" s="41" t="s">
        <v>20</v>
      </c>
      <c r="I9" s="17" t="s">
        <v>58</v>
      </c>
      <c r="J9" s="42">
        <v>-1509.2</v>
      </c>
      <c r="K9" s="17">
        <v>8</v>
      </c>
      <c r="L9" s="17">
        <v>20</v>
      </c>
      <c r="M9" s="17">
        <f t="shared" si="1"/>
        <v>28</v>
      </c>
    </row>
    <row r="10" spans="1:13" ht="15.75" customHeight="1" x14ac:dyDescent="0.3">
      <c r="A10" s="43" t="s">
        <v>22</v>
      </c>
      <c r="B10" s="18" t="s">
        <v>58</v>
      </c>
      <c r="C10" s="42">
        <v>-314</v>
      </c>
      <c r="D10" s="18">
        <v>11</v>
      </c>
      <c r="E10" s="18">
        <v>19</v>
      </c>
      <c r="F10" s="18">
        <f t="shared" si="0"/>
        <v>30</v>
      </c>
      <c r="H10" s="43" t="s">
        <v>22</v>
      </c>
      <c r="I10" s="18" t="s">
        <v>58</v>
      </c>
      <c r="J10" s="44">
        <v>224.65</v>
      </c>
      <c r="K10" s="18">
        <v>17</v>
      </c>
      <c r="L10" s="18">
        <v>18</v>
      </c>
      <c r="M10" s="18">
        <f t="shared" si="1"/>
        <v>35</v>
      </c>
    </row>
    <row r="11" spans="1:13" ht="15.75" customHeight="1" x14ac:dyDescent="0.3">
      <c r="A11" s="41" t="s">
        <v>24</v>
      </c>
      <c r="B11" s="17" t="s">
        <v>58</v>
      </c>
      <c r="C11" s="42">
        <v>-728.58</v>
      </c>
      <c r="D11" s="17">
        <v>12</v>
      </c>
      <c r="E11" s="17">
        <v>22</v>
      </c>
      <c r="F11" s="17">
        <f t="shared" si="0"/>
        <v>34</v>
      </c>
      <c r="H11" s="41" t="s">
        <v>24</v>
      </c>
      <c r="I11" s="17" t="s">
        <v>58</v>
      </c>
      <c r="J11" s="42">
        <v>-2088.66</v>
      </c>
      <c r="K11" s="17">
        <v>11</v>
      </c>
      <c r="L11" s="17">
        <v>28</v>
      </c>
      <c r="M11" s="17">
        <f t="shared" si="1"/>
        <v>39</v>
      </c>
    </row>
    <row r="12" spans="1:13" ht="15.75" customHeight="1" x14ac:dyDescent="0.3">
      <c r="A12" s="43" t="s">
        <v>26</v>
      </c>
      <c r="B12" s="18" t="s">
        <v>58</v>
      </c>
      <c r="C12" s="42">
        <v>-697.4</v>
      </c>
      <c r="D12" s="18">
        <v>13</v>
      </c>
      <c r="E12" s="18">
        <v>22</v>
      </c>
      <c r="F12" s="18">
        <f t="shared" si="0"/>
        <v>35</v>
      </c>
      <c r="H12" s="43" t="s">
        <v>26</v>
      </c>
      <c r="I12" s="18" t="s">
        <v>58</v>
      </c>
      <c r="J12" s="44">
        <v>641.70000000000005</v>
      </c>
      <c r="K12" s="18">
        <v>16</v>
      </c>
      <c r="L12" s="18">
        <v>16</v>
      </c>
      <c r="M12" s="18">
        <f t="shared" si="1"/>
        <v>32</v>
      </c>
    </row>
    <row r="13" spans="1:13" ht="15.75" customHeight="1" x14ac:dyDescent="0.3">
      <c r="A13" s="41" t="s">
        <v>28</v>
      </c>
      <c r="B13" s="17" t="s">
        <v>58</v>
      </c>
      <c r="C13" s="44">
        <v>714.7</v>
      </c>
      <c r="D13" s="17">
        <v>12</v>
      </c>
      <c r="E13" s="17">
        <v>16</v>
      </c>
      <c r="F13" s="17">
        <f t="shared" si="0"/>
        <v>28</v>
      </c>
      <c r="H13" s="41" t="s">
        <v>28</v>
      </c>
      <c r="I13" s="17" t="s">
        <v>58</v>
      </c>
      <c r="J13" s="42">
        <v>-1903.05</v>
      </c>
      <c r="K13" s="17">
        <v>13</v>
      </c>
      <c r="L13" s="17">
        <v>28</v>
      </c>
      <c r="M13" s="17">
        <f t="shared" si="1"/>
        <v>41</v>
      </c>
    </row>
    <row r="14" spans="1:13" ht="15.75" customHeight="1" x14ac:dyDescent="0.3">
      <c r="A14" s="43" t="s">
        <v>30</v>
      </c>
      <c r="B14" s="18" t="s">
        <v>58</v>
      </c>
      <c r="C14" s="44">
        <v>628.15</v>
      </c>
      <c r="D14" s="18">
        <v>12</v>
      </c>
      <c r="E14" s="18">
        <v>14</v>
      </c>
      <c r="F14" s="18">
        <f t="shared" si="0"/>
        <v>26</v>
      </c>
      <c r="H14" s="43" t="s">
        <v>30</v>
      </c>
      <c r="I14" s="18" t="s">
        <v>58</v>
      </c>
      <c r="J14" s="44">
        <v>683.3</v>
      </c>
      <c r="K14" s="18">
        <v>14</v>
      </c>
      <c r="L14" s="18">
        <v>14</v>
      </c>
      <c r="M14" s="18">
        <f t="shared" si="1"/>
        <v>28</v>
      </c>
    </row>
    <row r="15" spans="1:13" ht="15.75" customHeight="1" x14ac:dyDescent="0.3">
      <c r="A15" s="41" t="s">
        <v>32</v>
      </c>
      <c r="B15" s="17" t="s">
        <v>58</v>
      </c>
      <c r="C15" s="44">
        <v>1039.05</v>
      </c>
      <c r="D15" s="17">
        <v>10</v>
      </c>
      <c r="E15" s="17">
        <v>10</v>
      </c>
      <c r="F15" s="17">
        <f t="shared" si="0"/>
        <v>20</v>
      </c>
      <c r="H15" s="41" t="s">
        <v>32</v>
      </c>
      <c r="I15" s="17" t="s">
        <v>58</v>
      </c>
      <c r="J15" s="42">
        <v>-1176.9000000000001</v>
      </c>
      <c r="K15" s="17">
        <v>8</v>
      </c>
      <c r="L15" s="17">
        <v>18</v>
      </c>
      <c r="M15" s="17">
        <f t="shared" si="1"/>
        <v>26</v>
      </c>
    </row>
    <row r="16" spans="1:13" ht="15.75" customHeight="1" x14ac:dyDescent="0.3">
      <c r="A16" s="43" t="s">
        <v>34</v>
      </c>
      <c r="B16" s="18" t="s">
        <v>58</v>
      </c>
      <c r="C16" s="44">
        <v>1656.5</v>
      </c>
      <c r="D16" s="18">
        <v>16</v>
      </c>
      <c r="E16" s="18">
        <v>17</v>
      </c>
      <c r="F16" s="18">
        <f t="shared" si="0"/>
        <v>33</v>
      </c>
      <c r="H16" s="43" t="s">
        <v>34</v>
      </c>
      <c r="I16" s="18" t="s">
        <v>58</v>
      </c>
      <c r="J16" s="42">
        <v>-1302.19</v>
      </c>
      <c r="K16" s="18">
        <v>12</v>
      </c>
      <c r="L16" s="18">
        <v>26</v>
      </c>
      <c r="M16" s="18">
        <f t="shared" si="1"/>
        <v>38</v>
      </c>
    </row>
    <row r="17" spans="1:13" ht="15.75" customHeight="1" x14ac:dyDescent="0.3">
      <c r="A17" s="41" t="s">
        <v>36</v>
      </c>
      <c r="B17" s="17" t="s">
        <v>58</v>
      </c>
      <c r="C17" s="42">
        <v>-53</v>
      </c>
      <c r="D17" s="17">
        <v>16</v>
      </c>
      <c r="E17" s="17">
        <v>29</v>
      </c>
      <c r="F17" s="17">
        <f t="shared" si="0"/>
        <v>45</v>
      </c>
      <c r="H17" s="41" t="s">
        <v>36</v>
      </c>
      <c r="I17" s="17" t="s">
        <v>58</v>
      </c>
      <c r="J17" s="42">
        <v>-126.92</v>
      </c>
      <c r="K17" s="17">
        <v>17</v>
      </c>
      <c r="L17" s="17">
        <v>27</v>
      </c>
      <c r="M17" s="17">
        <f t="shared" si="1"/>
        <v>44</v>
      </c>
    </row>
    <row r="18" spans="1:13" ht="15.75" customHeight="1" x14ac:dyDescent="0.3">
      <c r="A18" s="43" t="s">
        <v>38</v>
      </c>
      <c r="B18" s="18" t="s">
        <v>58</v>
      </c>
      <c r="C18" s="44">
        <v>983.8</v>
      </c>
      <c r="D18" s="18">
        <v>14</v>
      </c>
      <c r="E18" s="18">
        <v>14</v>
      </c>
      <c r="F18" s="18">
        <f t="shared" si="0"/>
        <v>28</v>
      </c>
      <c r="H18" s="43" t="s">
        <v>38</v>
      </c>
      <c r="I18" s="18" t="s">
        <v>58</v>
      </c>
      <c r="J18" s="42">
        <v>-2504.9499999999998</v>
      </c>
      <c r="K18" s="18">
        <v>8</v>
      </c>
      <c r="L18" s="18">
        <v>25</v>
      </c>
      <c r="M18" s="18">
        <f t="shared" si="1"/>
        <v>33</v>
      </c>
    </row>
    <row r="19" spans="1:13" ht="15.75" customHeight="1" x14ac:dyDescent="0.3">
      <c r="A19" s="41" t="s">
        <v>40</v>
      </c>
      <c r="B19" s="17" t="s">
        <v>58</v>
      </c>
      <c r="C19" s="44">
        <v>1884.6</v>
      </c>
      <c r="D19" s="17">
        <v>16</v>
      </c>
      <c r="E19" s="17">
        <v>13</v>
      </c>
      <c r="F19" s="17">
        <f t="shared" si="0"/>
        <v>29</v>
      </c>
      <c r="H19" s="41" t="s">
        <v>40</v>
      </c>
      <c r="I19" s="17" t="s">
        <v>58</v>
      </c>
      <c r="J19" s="44">
        <v>698.35</v>
      </c>
      <c r="K19" s="17">
        <v>14</v>
      </c>
      <c r="L19" s="17">
        <v>21</v>
      </c>
      <c r="M19" s="17">
        <f t="shared" si="1"/>
        <v>35</v>
      </c>
    </row>
    <row r="20" spans="1:13" ht="15.75" customHeight="1" x14ac:dyDescent="0.3">
      <c r="A20" s="43" t="s">
        <v>42</v>
      </c>
      <c r="B20" s="18" t="s">
        <v>58</v>
      </c>
      <c r="C20" s="44">
        <v>1475.25</v>
      </c>
      <c r="D20" s="18">
        <v>15</v>
      </c>
      <c r="E20" s="18">
        <v>14</v>
      </c>
      <c r="F20" s="18">
        <f t="shared" si="0"/>
        <v>29</v>
      </c>
      <c r="H20" s="43" t="s">
        <v>42</v>
      </c>
      <c r="I20" s="18" t="s">
        <v>58</v>
      </c>
      <c r="J20" s="42">
        <v>-568.15</v>
      </c>
      <c r="K20" s="18">
        <v>12</v>
      </c>
      <c r="L20" s="18">
        <v>22</v>
      </c>
      <c r="M20" s="18">
        <f t="shared" si="1"/>
        <v>34</v>
      </c>
    </row>
    <row r="21" spans="1:13" ht="15.75" customHeight="1" x14ac:dyDescent="0.3">
      <c r="A21" s="41" t="s">
        <v>44</v>
      </c>
      <c r="B21" s="17" t="s">
        <v>58</v>
      </c>
      <c r="C21" s="42">
        <v>-281.39999999999998</v>
      </c>
      <c r="D21" s="17">
        <v>10</v>
      </c>
      <c r="E21" s="17">
        <v>14</v>
      </c>
      <c r="F21" s="17">
        <f t="shared" si="0"/>
        <v>24</v>
      </c>
      <c r="H21" s="41" t="s">
        <v>44</v>
      </c>
      <c r="I21" s="17" t="s">
        <v>58</v>
      </c>
      <c r="J21" s="44">
        <v>793.95</v>
      </c>
      <c r="K21" s="17">
        <v>15</v>
      </c>
      <c r="L21" s="17">
        <v>13</v>
      </c>
      <c r="M21" s="17">
        <f t="shared" si="1"/>
        <v>28</v>
      </c>
    </row>
    <row r="22" spans="1:13" ht="24" customHeight="1" x14ac:dyDescent="0.3">
      <c r="A22" s="45" t="s">
        <v>59</v>
      </c>
      <c r="B22" s="45"/>
      <c r="C22" s="21">
        <f>SUM(C7:C21)</f>
        <v>9168.52</v>
      </c>
      <c r="D22" s="45">
        <f>SUM(D7:D21)</f>
        <v>190</v>
      </c>
      <c r="E22" s="45">
        <f>SUM(E7:E21)</f>
        <v>247</v>
      </c>
      <c r="F22" s="45">
        <f>SUM(F7:F21)</f>
        <v>437</v>
      </c>
      <c r="H22" s="45" t="s">
        <v>59</v>
      </c>
      <c r="I22" s="45"/>
      <c r="J22" s="23">
        <f>SUM(J7:J21)</f>
        <v>-9753.6699999999983</v>
      </c>
      <c r="K22" s="45">
        <f>SUM(K7:K21)</f>
        <v>181</v>
      </c>
      <c r="L22" s="45">
        <f>SUM(L7:L21)</f>
        <v>316</v>
      </c>
      <c r="M22" s="45">
        <f>SUM(M7:M21)</f>
        <v>497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-1399.75</v>
      </c>
      <c r="D27" s="18">
        <v>7</v>
      </c>
      <c r="E27" s="18">
        <v>17</v>
      </c>
      <c r="F27" s="18">
        <f t="shared" ref="F27:F41" si="2">SUM(D27,E27)</f>
        <v>24</v>
      </c>
      <c r="H27" s="43" t="s">
        <v>16</v>
      </c>
      <c r="I27" s="18" t="s">
        <v>58</v>
      </c>
      <c r="J27" s="42">
        <v>-1889.15</v>
      </c>
      <c r="K27" s="18">
        <v>8</v>
      </c>
      <c r="L27" s="18">
        <v>19</v>
      </c>
      <c r="M27" s="18">
        <f t="shared" ref="M27:M41" si="3">SUM(K27,L27)</f>
        <v>27</v>
      </c>
    </row>
    <row r="28" spans="1:13" ht="15.75" customHeight="1" x14ac:dyDescent="0.3">
      <c r="A28" s="41" t="s">
        <v>18</v>
      </c>
      <c r="B28" s="17" t="s">
        <v>58</v>
      </c>
      <c r="C28" s="42">
        <v>-1596.75</v>
      </c>
      <c r="D28" s="17">
        <v>10</v>
      </c>
      <c r="E28" s="17">
        <v>24</v>
      </c>
      <c r="F28" s="17">
        <f t="shared" si="2"/>
        <v>34</v>
      </c>
      <c r="H28" s="41" t="s">
        <v>18</v>
      </c>
      <c r="I28" s="17" t="s">
        <v>58</v>
      </c>
      <c r="J28" s="44">
        <v>289.89999999999998</v>
      </c>
      <c r="K28" s="17">
        <v>15</v>
      </c>
      <c r="L28" s="17">
        <v>22</v>
      </c>
      <c r="M28" s="17">
        <f t="shared" si="3"/>
        <v>37</v>
      </c>
    </row>
    <row r="29" spans="1:13" ht="15.75" customHeight="1" x14ac:dyDescent="0.3">
      <c r="A29" s="43" t="s">
        <v>20</v>
      </c>
      <c r="B29" s="18" t="s">
        <v>58</v>
      </c>
      <c r="C29" s="42">
        <v>-1981.7</v>
      </c>
      <c r="D29" s="18">
        <v>6</v>
      </c>
      <c r="E29" s="18">
        <v>20</v>
      </c>
      <c r="F29" s="18">
        <f t="shared" si="2"/>
        <v>26</v>
      </c>
      <c r="H29" s="43" t="s">
        <v>20</v>
      </c>
      <c r="I29" s="18" t="s">
        <v>58</v>
      </c>
      <c r="J29" s="44">
        <v>1064.3</v>
      </c>
      <c r="K29" s="18">
        <v>12</v>
      </c>
      <c r="L29" s="18">
        <v>13</v>
      </c>
      <c r="M29" s="18">
        <f t="shared" si="3"/>
        <v>25</v>
      </c>
    </row>
    <row r="30" spans="1:13" ht="15.75" customHeight="1" x14ac:dyDescent="0.3">
      <c r="A30" s="41" t="s">
        <v>22</v>
      </c>
      <c r="B30" s="17" t="s">
        <v>58</v>
      </c>
      <c r="C30" s="44">
        <v>283.10000000000002</v>
      </c>
      <c r="D30" s="17">
        <v>11</v>
      </c>
      <c r="E30" s="17">
        <v>20</v>
      </c>
      <c r="F30" s="17">
        <f t="shared" si="2"/>
        <v>31</v>
      </c>
      <c r="H30" s="41" t="s">
        <v>22</v>
      </c>
      <c r="I30" s="17" t="s">
        <v>58</v>
      </c>
      <c r="J30" s="42">
        <v>-2488.15</v>
      </c>
      <c r="K30" s="17">
        <v>12</v>
      </c>
      <c r="L30" s="17">
        <v>29</v>
      </c>
      <c r="M30" s="17">
        <f t="shared" si="3"/>
        <v>41</v>
      </c>
    </row>
    <row r="31" spans="1:13" ht="15.75" customHeight="1" x14ac:dyDescent="0.3">
      <c r="A31" s="43" t="s">
        <v>24</v>
      </c>
      <c r="B31" s="18" t="s">
        <v>58</v>
      </c>
      <c r="C31" s="44">
        <v>1313.55</v>
      </c>
      <c r="D31" s="18">
        <v>13</v>
      </c>
      <c r="E31" s="18">
        <v>11</v>
      </c>
      <c r="F31" s="18">
        <f t="shared" si="2"/>
        <v>24</v>
      </c>
      <c r="H31" s="43" t="s">
        <v>24</v>
      </c>
      <c r="I31" s="18" t="s">
        <v>58</v>
      </c>
      <c r="J31" s="42">
        <v>-444.8</v>
      </c>
      <c r="K31" s="18">
        <v>11</v>
      </c>
      <c r="L31" s="18">
        <v>20</v>
      </c>
      <c r="M31" s="18">
        <f t="shared" si="3"/>
        <v>31</v>
      </c>
    </row>
    <row r="32" spans="1:13" ht="15.75" customHeight="1" x14ac:dyDescent="0.3">
      <c r="A32" s="41" t="s">
        <v>26</v>
      </c>
      <c r="B32" s="17" t="s">
        <v>58</v>
      </c>
      <c r="C32" s="42">
        <v>-721.45</v>
      </c>
      <c r="D32" s="17">
        <v>9</v>
      </c>
      <c r="E32" s="17">
        <v>16</v>
      </c>
      <c r="F32" s="17">
        <f t="shared" si="2"/>
        <v>25</v>
      </c>
      <c r="H32" s="41" t="s">
        <v>26</v>
      </c>
      <c r="I32" s="17" t="s">
        <v>58</v>
      </c>
      <c r="J32" s="44">
        <v>1347.65</v>
      </c>
      <c r="K32" s="17">
        <v>19</v>
      </c>
      <c r="L32" s="17">
        <v>15</v>
      </c>
      <c r="M32" s="17">
        <f t="shared" si="3"/>
        <v>34</v>
      </c>
    </row>
    <row r="33" spans="1:13" ht="15.75" customHeight="1" x14ac:dyDescent="0.3">
      <c r="A33" s="43" t="s">
        <v>28</v>
      </c>
      <c r="B33" s="18" t="s">
        <v>58</v>
      </c>
      <c r="C33" s="44">
        <v>24.2</v>
      </c>
      <c r="D33" s="18">
        <v>13</v>
      </c>
      <c r="E33" s="18">
        <v>17</v>
      </c>
      <c r="F33" s="18">
        <f t="shared" si="2"/>
        <v>30</v>
      </c>
      <c r="H33" s="43" t="s">
        <v>28</v>
      </c>
      <c r="I33" s="18" t="s">
        <v>58</v>
      </c>
      <c r="J33" s="42">
        <v>-1131.05</v>
      </c>
      <c r="K33" s="18">
        <v>12</v>
      </c>
      <c r="L33" s="18">
        <v>22</v>
      </c>
      <c r="M33" s="18">
        <f t="shared" si="3"/>
        <v>34</v>
      </c>
    </row>
    <row r="34" spans="1:13" ht="15.75" customHeight="1" x14ac:dyDescent="0.3">
      <c r="A34" s="41" t="s">
        <v>30</v>
      </c>
      <c r="B34" s="17" t="s">
        <v>58</v>
      </c>
      <c r="C34" s="44">
        <v>829.9</v>
      </c>
      <c r="D34" s="17">
        <v>14</v>
      </c>
      <c r="E34" s="17">
        <v>12</v>
      </c>
      <c r="F34" s="17">
        <f t="shared" si="2"/>
        <v>26</v>
      </c>
      <c r="H34" s="41" t="s">
        <v>30</v>
      </c>
      <c r="I34" s="17" t="s">
        <v>58</v>
      </c>
      <c r="J34" s="42">
        <v>-1398.25</v>
      </c>
      <c r="K34" s="17">
        <v>11</v>
      </c>
      <c r="L34" s="17">
        <v>21</v>
      </c>
      <c r="M34" s="17">
        <f t="shared" si="3"/>
        <v>32</v>
      </c>
    </row>
    <row r="35" spans="1:13" ht="15.75" customHeight="1" x14ac:dyDescent="0.3">
      <c r="A35" s="43" t="s">
        <v>32</v>
      </c>
      <c r="B35" s="18" t="s">
        <v>58</v>
      </c>
      <c r="C35" s="42">
        <v>-101.1</v>
      </c>
      <c r="D35" s="18">
        <v>10</v>
      </c>
      <c r="E35" s="18">
        <v>14</v>
      </c>
      <c r="F35" s="18">
        <f t="shared" si="2"/>
        <v>24</v>
      </c>
      <c r="H35" s="43" t="s">
        <v>32</v>
      </c>
      <c r="I35" s="18" t="s">
        <v>58</v>
      </c>
      <c r="J35" s="42">
        <v>-323.64999999999998</v>
      </c>
      <c r="K35" s="18">
        <v>11</v>
      </c>
      <c r="L35" s="18">
        <v>20</v>
      </c>
      <c r="M35" s="18">
        <f t="shared" si="3"/>
        <v>31</v>
      </c>
    </row>
    <row r="36" spans="1:13" ht="15.75" customHeight="1" x14ac:dyDescent="0.3">
      <c r="A36" s="41" t="s">
        <v>34</v>
      </c>
      <c r="B36" s="17" t="s">
        <v>58</v>
      </c>
      <c r="C36" s="44">
        <v>733.76</v>
      </c>
      <c r="D36" s="17">
        <v>17</v>
      </c>
      <c r="E36" s="17">
        <v>19</v>
      </c>
      <c r="F36" s="17">
        <f t="shared" si="2"/>
        <v>36</v>
      </c>
      <c r="H36" s="41" t="s">
        <v>34</v>
      </c>
      <c r="I36" s="17" t="s">
        <v>58</v>
      </c>
      <c r="J36" s="42">
        <v>-2266.12</v>
      </c>
      <c r="K36" s="17">
        <v>15</v>
      </c>
      <c r="L36" s="17">
        <v>31</v>
      </c>
      <c r="M36" s="17">
        <f t="shared" si="3"/>
        <v>46</v>
      </c>
    </row>
    <row r="37" spans="1:13" ht="15.75" customHeight="1" x14ac:dyDescent="0.3">
      <c r="A37" s="43" t="s">
        <v>36</v>
      </c>
      <c r="B37" s="18" t="s">
        <v>58</v>
      </c>
      <c r="C37" s="44">
        <v>49.35</v>
      </c>
      <c r="D37" s="18">
        <v>10</v>
      </c>
      <c r="E37" s="18">
        <v>17</v>
      </c>
      <c r="F37" s="18">
        <f t="shared" si="2"/>
        <v>27</v>
      </c>
      <c r="H37" s="43" t="s">
        <v>36</v>
      </c>
      <c r="I37" s="18" t="s">
        <v>58</v>
      </c>
      <c r="J37" s="44">
        <v>1747.35</v>
      </c>
      <c r="K37" s="18">
        <v>14</v>
      </c>
      <c r="L37" s="18">
        <v>16</v>
      </c>
      <c r="M37" s="18">
        <f t="shared" si="3"/>
        <v>30</v>
      </c>
    </row>
    <row r="38" spans="1:13" ht="15.75" customHeight="1" x14ac:dyDescent="0.3">
      <c r="A38" s="41" t="s">
        <v>38</v>
      </c>
      <c r="B38" s="17" t="s">
        <v>58</v>
      </c>
      <c r="C38" s="44">
        <v>213.9</v>
      </c>
      <c r="D38" s="17">
        <v>11</v>
      </c>
      <c r="E38" s="17">
        <v>16</v>
      </c>
      <c r="F38" s="17">
        <f t="shared" si="2"/>
        <v>27</v>
      </c>
      <c r="H38" s="41" t="s">
        <v>38</v>
      </c>
      <c r="I38" s="17" t="s">
        <v>58</v>
      </c>
      <c r="J38" s="42">
        <v>-407.75</v>
      </c>
      <c r="K38" s="17">
        <v>14</v>
      </c>
      <c r="L38" s="17">
        <v>18</v>
      </c>
      <c r="M38" s="17">
        <f t="shared" si="3"/>
        <v>32</v>
      </c>
    </row>
    <row r="39" spans="1:13" ht="15.75" customHeight="1" x14ac:dyDescent="0.3">
      <c r="A39" s="43" t="s">
        <v>40</v>
      </c>
      <c r="B39" s="18" t="s">
        <v>58</v>
      </c>
      <c r="C39" s="44">
        <v>486.5</v>
      </c>
      <c r="D39" s="18">
        <v>14</v>
      </c>
      <c r="E39" s="18">
        <v>13</v>
      </c>
      <c r="F39" s="18">
        <f t="shared" si="2"/>
        <v>27</v>
      </c>
      <c r="H39" s="43" t="s">
        <v>40</v>
      </c>
      <c r="I39" s="18" t="s">
        <v>58</v>
      </c>
      <c r="J39" s="44">
        <v>360.05</v>
      </c>
      <c r="K39" s="18">
        <v>14</v>
      </c>
      <c r="L39" s="18">
        <v>15</v>
      </c>
      <c r="M39" s="18">
        <f t="shared" si="3"/>
        <v>29</v>
      </c>
    </row>
    <row r="40" spans="1:13" ht="15.75" customHeight="1" x14ac:dyDescent="0.3">
      <c r="A40" s="41" t="s">
        <v>42</v>
      </c>
      <c r="B40" s="17" t="s">
        <v>58</v>
      </c>
      <c r="C40" s="42">
        <v>-412.45</v>
      </c>
      <c r="D40" s="17">
        <v>9</v>
      </c>
      <c r="E40" s="17">
        <v>15</v>
      </c>
      <c r="F40" s="17">
        <f t="shared" si="2"/>
        <v>24</v>
      </c>
      <c r="H40" s="41" t="s">
        <v>42</v>
      </c>
      <c r="I40" s="17" t="s">
        <v>58</v>
      </c>
      <c r="J40" s="44">
        <v>580.29999999999995</v>
      </c>
      <c r="K40" s="17">
        <v>13</v>
      </c>
      <c r="L40" s="17">
        <v>13</v>
      </c>
      <c r="M40" s="17">
        <f t="shared" si="3"/>
        <v>26</v>
      </c>
    </row>
    <row r="41" spans="1:13" ht="15.75" customHeight="1" x14ac:dyDescent="0.3">
      <c r="A41" s="43" t="s">
        <v>44</v>
      </c>
      <c r="B41" s="18" t="s">
        <v>58</v>
      </c>
      <c r="C41" s="44">
        <v>474.9</v>
      </c>
      <c r="D41" s="18">
        <v>12</v>
      </c>
      <c r="E41" s="18">
        <v>14</v>
      </c>
      <c r="F41" s="18">
        <f t="shared" si="2"/>
        <v>26</v>
      </c>
      <c r="H41" s="43" t="s">
        <v>44</v>
      </c>
      <c r="I41" s="18" t="s">
        <v>58</v>
      </c>
      <c r="J41" s="42">
        <v>-1409.6</v>
      </c>
      <c r="K41" s="18">
        <v>11</v>
      </c>
      <c r="L41" s="18">
        <v>22</v>
      </c>
      <c r="M41" s="18">
        <f t="shared" si="3"/>
        <v>33</v>
      </c>
    </row>
    <row r="42" spans="1:13" ht="24" customHeight="1" x14ac:dyDescent="0.3">
      <c r="A42" s="45" t="s">
        <v>59</v>
      </c>
      <c r="B42" s="45"/>
      <c r="C42" s="21">
        <f>SUM(C27:C41)</f>
        <v>-1804.0399999999986</v>
      </c>
      <c r="D42" s="45">
        <f>SUM(D27:D41)</f>
        <v>166</v>
      </c>
      <c r="E42" s="45">
        <f>SUM(E27:E41)</f>
        <v>245</v>
      </c>
      <c r="F42" s="45">
        <f>SUM(F27:F41)</f>
        <v>411</v>
      </c>
      <c r="H42" s="45" t="s">
        <v>59</v>
      </c>
      <c r="I42" s="45"/>
      <c r="J42" s="21">
        <f>SUM(J27:J41)</f>
        <v>-6368.9699999999993</v>
      </c>
      <c r="K42" s="45">
        <f>SUM(K27:K41)</f>
        <v>192</v>
      </c>
      <c r="L42" s="45">
        <f>SUM(L27:L41)</f>
        <v>296</v>
      </c>
      <c r="M42" s="45">
        <f>SUM(M27:M41)</f>
        <v>488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4">
        <v>1503.65</v>
      </c>
      <c r="D47" s="17">
        <v>11</v>
      </c>
      <c r="E47" s="17">
        <v>10</v>
      </c>
      <c r="F47" s="17">
        <f t="shared" ref="F47:F61" si="4">SUM(D47,E47)</f>
        <v>21</v>
      </c>
      <c r="H47" s="41" t="s">
        <v>16</v>
      </c>
      <c r="I47" s="17" t="s">
        <v>58</v>
      </c>
      <c r="J47" s="42">
        <v>-1575.3</v>
      </c>
      <c r="K47" s="17">
        <v>7</v>
      </c>
      <c r="L47" s="17">
        <v>19</v>
      </c>
      <c r="M47" s="17">
        <f t="shared" ref="M47:M61" si="5">SUM(K47,L47)</f>
        <v>26</v>
      </c>
    </row>
    <row r="48" spans="1:13" ht="15.75" customHeight="1" x14ac:dyDescent="0.3">
      <c r="A48" s="43" t="s">
        <v>18</v>
      </c>
      <c r="B48" s="18" t="s">
        <v>58</v>
      </c>
      <c r="C48" s="44">
        <v>1038.4000000000001</v>
      </c>
      <c r="D48" s="18">
        <v>7</v>
      </c>
      <c r="E48" s="18">
        <v>9</v>
      </c>
      <c r="F48" s="18">
        <f t="shared" si="4"/>
        <v>16</v>
      </c>
      <c r="H48" s="43" t="s">
        <v>18</v>
      </c>
      <c r="I48" s="18" t="s">
        <v>58</v>
      </c>
      <c r="J48" s="42">
        <v>-238.7</v>
      </c>
      <c r="K48" s="18">
        <v>7</v>
      </c>
      <c r="L48" s="18">
        <v>13</v>
      </c>
      <c r="M48" s="18">
        <f t="shared" si="5"/>
        <v>20</v>
      </c>
    </row>
    <row r="49" spans="1:13" ht="15.75" customHeight="1" x14ac:dyDescent="0.3">
      <c r="A49" s="41" t="s">
        <v>20</v>
      </c>
      <c r="B49" s="17" t="s">
        <v>58</v>
      </c>
      <c r="C49" s="42">
        <v>-7.85</v>
      </c>
      <c r="D49" s="17">
        <v>9</v>
      </c>
      <c r="E49" s="17">
        <v>20</v>
      </c>
      <c r="F49" s="17">
        <f t="shared" si="4"/>
        <v>29</v>
      </c>
      <c r="H49" s="41" t="s">
        <v>20</v>
      </c>
      <c r="I49" s="17" t="s">
        <v>58</v>
      </c>
      <c r="J49" s="44">
        <v>248.65</v>
      </c>
      <c r="K49" s="17">
        <v>12</v>
      </c>
      <c r="L49" s="17">
        <v>18</v>
      </c>
      <c r="M49" s="17">
        <f t="shared" si="5"/>
        <v>30</v>
      </c>
    </row>
    <row r="50" spans="1:13" ht="15.75" customHeight="1" x14ac:dyDescent="0.3">
      <c r="A50" s="43" t="s">
        <v>22</v>
      </c>
      <c r="B50" s="18" t="s">
        <v>58</v>
      </c>
      <c r="C50" s="44">
        <v>2240.85</v>
      </c>
      <c r="D50" s="18">
        <v>19</v>
      </c>
      <c r="E50" s="18">
        <v>12</v>
      </c>
      <c r="F50" s="18">
        <f t="shared" si="4"/>
        <v>31</v>
      </c>
      <c r="H50" s="43" t="s">
        <v>22</v>
      </c>
      <c r="I50" s="18" t="s">
        <v>58</v>
      </c>
      <c r="J50" s="42">
        <v>-2209.5</v>
      </c>
      <c r="K50" s="18">
        <v>14</v>
      </c>
      <c r="L50" s="18">
        <v>30</v>
      </c>
      <c r="M50" s="18">
        <f t="shared" si="5"/>
        <v>44</v>
      </c>
    </row>
    <row r="51" spans="1:13" ht="15.75" customHeight="1" x14ac:dyDescent="0.3">
      <c r="A51" s="41" t="s">
        <v>24</v>
      </c>
      <c r="B51" s="17" t="s">
        <v>58</v>
      </c>
      <c r="C51" s="44">
        <v>950.05</v>
      </c>
      <c r="D51" s="17">
        <v>11</v>
      </c>
      <c r="E51" s="17">
        <v>12</v>
      </c>
      <c r="F51" s="17">
        <f t="shared" si="4"/>
        <v>23</v>
      </c>
      <c r="H51" s="41" t="s">
        <v>24</v>
      </c>
      <c r="I51" s="17" t="s">
        <v>58</v>
      </c>
      <c r="J51" s="44">
        <v>2453.25</v>
      </c>
      <c r="K51" s="17">
        <v>16</v>
      </c>
      <c r="L51" s="17">
        <v>10</v>
      </c>
      <c r="M51" s="17">
        <f t="shared" si="5"/>
        <v>26</v>
      </c>
    </row>
    <row r="52" spans="1:13" ht="15.75" customHeight="1" x14ac:dyDescent="0.3">
      <c r="A52" s="43" t="s">
        <v>26</v>
      </c>
      <c r="B52" s="18" t="s">
        <v>58</v>
      </c>
      <c r="C52" s="42">
        <v>-925.7</v>
      </c>
      <c r="D52" s="18">
        <v>9</v>
      </c>
      <c r="E52" s="18">
        <v>14</v>
      </c>
      <c r="F52" s="18">
        <f t="shared" si="4"/>
        <v>23</v>
      </c>
      <c r="H52" s="43" t="s">
        <v>26</v>
      </c>
      <c r="I52" s="18" t="s">
        <v>58</v>
      </c>
      <c r="J52" s="44">
        <v>343.9</v>
      </c>
      <c r="K52" s="18">
        <v>17</v>
      </c>
      <c r="L52" s="18">
        <v>12</v>
      </c>
      <c r="M52" s="18">
        <f t="shared" si="5"/>
        <v>29</v>
      </c>
    </row>
    <row r="53" spans="1:13" ht="15.75" customHeight="1" x14ac:dyDescent="0.3">
      <c r="A53" s="41" t="s">
        <v>28</v>
      </c>
      <c r="B53" s="17" t="s">
        <v>58</v>
      </c>
      <c r="C53" s="44">
        <v>876.85</v>
      </c>
      <c r="D53" s="17">
        <v>11</v>
      </c>
      <c r="E53" s="17">
        <v>11</v>
      </c>
      <c r="F53" s="17">
        <f t="shared" si="4"/>
        <v>22</v>
      </c>
      <c r="H53" s="41" t="s">
        <v>28</v>
      </c>
      <c r="I53" s="17" t="s">
        <v>58</v>
      </c>
      <c r="J53" s="44">
        <v>973.8</v>
      </c>
      <c r="K53" s="17">
        <v>14</v>
      </c>
      <c r="L53" s="17">
        <v>15</v>
      </c>
      <c r="M53" s="17">
        <f t="shared" si="5"/>
        <v>29</v>
      </c>
    </row>
    <row r="54" spans="1:13" ht="15.75" customHeight="1" x14ac:dyDescent="0.3">
      <c r="A54" s="43" t="s">
        <v>30</v>
      </c>
      <c r="B54" s="18" t="s">
        <v>58</v>
      </c>
      <c r="C54" s="44">
        <v>2995.2</v>
      </c>
      <c r="D54" s="18">
        <v>19</v>
      </c>
      <c r="E54" s="18">
        <v>17</v>
      </c>
      <c r="F54" s="18">
        <f t="shared" si="4"/>
        <v>36</v>
      </c>
      <c r="H54" s="43" t="s">
        <v>30</v>
      </c>
      <c r="I54" s="18" t="s">
        <v>58</v>
      </c>
      <c r="J54" s="42">
        <v>-684.45</v>
      </c>
      <c r="K54" s="18">
        <v>16</v>
      </c>
      <c r="L54" s="18">
        <v>23</v>
      </c>
      <c r="M54" s="18">
        <f t="shared" si="5"/>
        <v>39</v>
      </c>
    </row>
    <row r="55" spans="1:13" ht="15.75" customHeight="1" x14ac:dyDescent="0.3">
      <c r="A55" s="41" t="s">
        <v>32</v>
      </c>
      <c r="B55" s="17" t="s">
        <v>58</v>
      </c>
      <c r="C55" s="44">
        <v>97.6</v>
      </c>
      <c r="D55" s="17">
        <v>12</v>
      </c>
      <c r="E55" s="17">
        <v>16</v>
      </c>
      <c r="F55" s="17">
        <f t="shared" si="4"/>
        <v>28</v>
      </c>
      <c r="H55" s="41" t="s">
        <v>32</v>
      </c>
      <c r="I55" s="17" t="s">
        <v>58</v>
      </c>
      <c r="J55" s="42">
        <v>-605.79999999999995</v>
      </c>
      <c r="K55" s="17">
        <v>12</v>
      </c>
      <c r="L55" s="17">
        <v>23</v>
      </c>
      <c r="M55" s="17">
        <f t="shared" si="5"/>
        <v>35</v>
      </c>
    </row>
    <row r="56" spans="1:13" ht="15.75" customHeight="1" x14ac:dyDescent="0.3">
      <c r="A56" s="43" t="s">
        <v>34</v>
      </c>
      <c r="B56" s="18" t="s">
        <v>58</v>
      </c>
      <c r="C56" s="44">
        <v>705.46</v>
      </c>
      <c r="D56" s="18">
        <v>14</v>
      </c>
      <c r="E56" s="18">
        <v>16</v>
      </c>
      <c r="F56" s="18">
        <f t="shared" si="4"/>
        <v>30</v>
      </c>
      <c r="H56" s="43" t="s">
        <v>34</v>
      </c>
      <c r="I56" s="18" t="s">
        <v>58</v>
      </c>
      <c r="J56" s="44">
        <v>1234.55</v>
      </c>
      <c r="K56" s="18">
        <v>17</v>
      </c>
      <c r="L56" s="18">
        <v>15</v>
      </c>
      <c r="M56" s="18">
        <f t="shared" si="5"/>
        <v>32</v>
      </c>
    </row>
    <row r="57" spans="1:13" ht="15.75" customHeight="1" x14ac:dyDescent="0.3">
      <c r="A57" s="41" t="s">
        <v>36</v>
      </c>
      <c r="B57" s="17" t="s">
        <v>58</v>
      </c>
      <c r="C57" s="44">
        <v>3213.95</v>
      </c>
      <c r="D57" s="17">
        <v>19</v>
      </c>
      <c r="E57" s="17">
        <v>10</v>
      </c>
      <c r="F57" s="17">
        <f t="shared" si="4"/>
        <v>29</v>
      </c>
      <c r="H57" s="41" t="s">
        <v>36</v>
      </c>
      <c r="I57" s="17" t="s">
        <v>58</v>
      </c>
      <c r="J57" s="42">
        <v>-1018.7</v>
      </c>
      <c r="K57" s="17">
        <v>13</v>
      </c>
      <c r="L57" s="17">
        <v>27</v>
      </c>
      <c r="M57" s="17">
        <f t="shared" si="5"/>
        <v>40</v>
      </c>
    </row>
    <row r="58" spans="1:13" ht="15.75" customHeight="1" x14ac:dyDescent="0.3">
      <c r="A58" s="43" t="s">
        <v>38</v>
      </c>
      <c r="B58" s="18" t="s">
        <v>58</v>
      </c>
      <c r="C58" s="44">
        <v>243.05</v>
      </c>
      <c r="D58" s="18">
        <v>15</v>
      </c>
      <c r="E58" s="18">
        <v>15</v>
      </c>
      <c r="F58" s="18">
        <f t="shared" si="4"/>
        <v>30</v>
      </c>
      <c r="H58" s="43" t="s">
        <v>38</v>
      </c>
      <c r="I58" s="18" t="s">
        <v>58</v>
      </c>
      <c r="J58" s="42">
        <v>-891.45</v>
      </c>
      <c r="K58" s="18">
        <v>13</v>
      </c>
      <c r="L58" s="18">
        <v>21</v>
      </c>
      <c r="M58" s="18">
        <f t="shared" si="5"/>
        <v>34</v>
      </c>
    </row>
    <row r="59" spans="1:13" ht="15.75" customHeight="1" x14ac:dyDescent="0.3">
      <c r="A59" s="41" t="s">
        <v>40</v>
      </c>
      <c r="B59" s="17" t="s">
        <v>58</v>
      </c>
      <c r="C59" s="44">
        <v>310.55</v>
      </c>
      <c r="D59" s="17">
        <v>9</v>
      </c>
      <c r="E59" s="17">
        <v>14</v>
      </c>
      <c r="F59" s="17">
        <f t="shared" si="4"/>
        <v>23</v>
      </c>
      <c r="H59" s="41" t="s">
        <v>40</v>
      </c>
      <c r="I59" s="17" t="s">
        <v>58</v>
      </c>
      <c r="J59" s="42">
        <v>-477.35</v>
      </c>
      <c r="K59" s="17">
        <v>8</v>
      </c>
      <c r="L59" s="17">
        <v>18</v>
      </c>
      <c r="M59" s="17">
        <f t="shared" si="5"/>
        <v>26</v>
      </c>
    </row>
    <row r="60" spans="1:13" ht="15.75" customHeight="1" x14ac:dyDescent="0.3">
      <c r="A60" s="43" t="s">
        <v>42</v>
      </c>
      <c r="B60" s="18" t="s">
        <v>58</v>
      </c>
      <c r="C60" s="44">
        <v>1731.65</v>
      </c>
      <c r="D60" s="18">
        <v>18</v>
      </c>
      <c r="E60" s="18">
        <v>16</v>
      </c>
      <c r="F60" s="18">
        <f t="shared" si="4"/>
        <v>34</v>
      </c>
      <c r="H60" s="43" t="s">
        <v>42</v>
      </c>
      <c r="I60" s="18" t="s">
        <v>58</v>
      </c>
      <c r="J60" s="42">
        <v>-1194.45</v>
      </c>
      <c r="K60" s="18">
        <v>15</v>
      </c>
      <c r="L60" s="18">
        <v>25</v>
      </c>
      <c r="M60" s="18">
        <f t="shared" si="5"/>
        <v>40</v>
      </c>
    </row>
    <row r="61" spans="1:13" ht="15.75" customHeight="1" x14ac:dyDescent="0.3">
      <c r="A61" s="41" t="s">
        <v>44</v>
      </c>
      <c r="B61" s="17" t="s">
        <v>58</v>
      </c>
      <c r="C61" s="44">
        <v>1399.25</v>
      </c>
      <c r="D61" s="17">
        <v>13</v>
      </c>
      <c r="E61" s="17">
        <v>14</v>
      </c>
      <c r="F61" s="17">
        <f t="shared" si="4"/>
        <v>27</v>
      </c>
      <c r="H61" s="41" t="s">
        <v>44</v>
      </c>
      <c r="I61" s="17" t="s">
        <v>58</v>
      </c>
      <c r="J61" s="44">
        <v>511.65</v>
      </c>
      <c r="K61" s="17">
        <v>15</v>
      </c>
      <c r="L61" s="17">
        <v>16</v>
      </c>
      <c r="M61" s="17">
        <f t="shared" si="5"/>
        <v>31</v>
      </c>
    </row>
    <row r="62" spans="1:13" ht="24" customHeight="1" x14ac:dyDescent="0.3">
      <c r="A62" s="45" t="s">
        <v>59</v>
      </c>
      <c r="B62" s="45"/>
      <c r="C62" s="21">
        <f>SUM(C47:C61)</f>
        <v>16372.960000000001</v>
      </c>
      <c r="D62" s="45">
        <f>SUM(D47:D61)</f>
        <v>196</v>
      </c>
      <c r="E62" s="45">
        <f>SUM(E47:E61)</f>
        <v>206</v>
      </c>
      <c r="F62" s="45">
        <f>SUM(F47:F61)</f>
        <v>402</v>
      </c>
      <c r="H62" s="45" t="s">
        <v>59</v>
      </c>
      <c r="I62" s="45"/>
      <c r="J62" s="23">
        <f>SUM(J47:J61)</f>
        <v>-3129.9</v>
      </c>
      <c r="K62" s="45">
        <f>SUM(K47:K61)</f>
        <v>196</v>
      </c>
      <c r="L62" s="45">
        <f>SUM(L47:L61)</f>
        <v>285</v>
      </c>
      <c r="M62" s="45">
        <f>SUM(M47:M61)</f>
        <v>481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2">
        <v>-140.30000000000001</v>
      </c>
      <c r="D67" s="18">
        <v>4</v>
      </c>
      <c r="E67" s="18">
        <v>10</v>
      </c>
      <c r="F67" s="18">
        <f t="shared" ref="F67:F81" si="6">SUM(D67,E67)</f>
        <v>14</v>
      </c>
      <c r="H67" s="43" t="s">
        <v>16</v>
      </c>
      <c r="I67" s="18" t="s">
        <v>58</v>
      </c>
      <c r="J67" s="42">
        <v>-364.35</v>
      </c>
      <c r="K67" s="18">
        <v>9</v>
      </c>
      <c r="L67" s="18">
        <v>7</v>
      </c>
      <c r="M67" s="18">
        <f t="shared" ref="M67:M81" si="7">SUM(K67,L67)</f>
        <v>16</v>
      </c>
    </row>
    <row r="68" spans="1:13" ht="15.75" customHeight="1" x14ac:dyDescent="0.3">
      <c r="A68" s="41" t="s">
        <v>18</v>
      </c>
      <c r="B68" s="17" t="s">
        <v>58</v>
      </c>
      <c r="C68" s="44">
        <v>1023.65</v>
      </c>
      <c r="D68" s="17">
        <v>9</v>
      </c>
      <c r="E68" s="17">
        <v>11</v>
      </c>
      <c r="F68" s="17">
        <f t="shared" si="6"/>
        <v>20</v>
      </c>
      <c r="H68" s="41" t="s">
        <v>18</v>
      </c>
      <c r="I68" s="17" t="s">
        <v>58</v>
      </c>
      <c r="J68" s="44">
        <v>1151.5</v>
      </c>
      <c r="K68" s="17">
        <v>10</v>
      </c>
      <c r="L68" s="17">
        <v>9</v>
      </c>
      <c r="M68" s="17">
        <f t="shared" si="7"/>
        <v>19</v>
      </c>
    </row>
    <row r="69" spans="1:13" ht="15.75" customHeight="1" x14ac:dyDescent="0.3">
      <c r="A69" s="43" t="s">
        <v>20</v>
      </c>
      <c r="B69" s="18" t="s">
        <v>58</v>
      </c>
      <c r="C69" s="42">
        <v>-1101.8499999999999</v>
      </c>
      <c r="D69" s="18">
        <v>6</v>
      </c>
      <c r="E69" s="18">
        <v>20</v>
      </c>
      <c r="F69" s="18">
        <f t="shared" si="6"/>
        <v>26</v>
      </c>
      <c r="H69" s="43" t="s">
        <v>20</v>
      </c>
      <c r="I69" s="18" t="s">
        <v>58</v>
      </c>
      <c r="J69" s="44">
        <v>349.4</v>
      </c>
      <c r="K69" s="18">
        <v>13</v>
      </c>
      <c r="L69" s="18">
        <v>17</v>
      </c>
      <c r="M69" s="18">
        <f t="shared" si="7"/>
        <v>30</v>
      </c>
    </row>
    <row r="70" spans="1:13" ht="15.75" customHeight="1" x14ac:dyDescent="0.3">
      <c r="A70" s="41" t="s">
        <v>22</v>
      </c>
      <c r="B70" s="17" t="s">
        <v>58</v>
      </c>
      <c r="C70" s="44">
        <v>796.75</v>
      </c>
      <c r="D70" s="17">
        <v>11</v>
      </c>
      <c r="E70" s="17">
        <v>14</v>
      </c>
      <c r="F70" s="17">
        <f t="shared" si="6"/>
        <v>25</v>
      </c>
      <c r="H70" s="41" t="s">
        <v>22</v>
      </c>
      <c r="I70" s="17" t="s">
        <v>58</v>
      </c>
      <c r="J70" s="44">
        <v>386.4</v>
      </c>
      <c r="K70" s="17">
        <v>13</v>
      </c>
      <c r="L70" s="17">
        <v>16</v>
      </c>
      <c r="M70" s="17">
        <f t="shared" si="7"/>
        <v>29</v>
      </c>
    </row>
    <row r="71" spans="1:13" ht="15.75" customHeight="1" x14ac:dyDescent="0.3">
      <c r="A71" s="43" t="s">
        <v>24</v>
      </c>
      <c r="B71" s="18" t="s">
        <v>58</v>
      </c>
      <c r="C71" s="44">
        <v>340.1</v>
      </c>
      <c r="D71" s="18">
        <v>8</v>
      </c>
      <c r="E71" s="18">
        <v>14</v>
      </c>
      <c r="F71" s="18">
        <f t="shared" si="6"/>
        <v>22</v>
      </c>
      <c r="H71" s="43" t="s">
        <v>24</v>
      </c>
      <c r="I71" s="18" t="s">
        <v>58</v>
      </c>
      <c r="J71" s="44">
        <v>303.8</v>
      </c>
      <c r="K71" s="18">
        <v>7</v>
      </c>
      <c r="L71" s="18">
        <v>15</v>
      </c>
      <c r="M71" s="18">
        <f t="shared" si="7"/>
        <v>22</v>
      </c>
    </row>
    <row r="72" spans="1:13" ht="15.75" customHeight="1" x14ac:dyDescent="0.3">
      <c r="A72" s="41" t="s">
        <v>26</v>
      </c>
      <c r="B72" s="17" t="s">
        <v>58</v>
      </c>
      <c r="C72" s="42">
        <v>-1983.75</v>
      </c>
      <c r="D72" s="17">
        <v>9</v>
      </c>
      <c r="E72" s="17">
        <v>23</v>
      </c>
      <c r="F72" s="17">
        <f t="shared" si="6"/>
        <v>32</v>
      </c>
      <c r="H72" s="41" t="s">
        <v>26</v>
      </c>
      <c r="I72" s="17" t="s">
        <v>58</v>
      </c>
      <c r="J72" s="44">
        <v>491.6</v>
      </c>
      <c r="K72" s="17">
        <v>13</v>
      </c>
      <c r="L72" s="17">
        <v>18</v>
      </c>
      <c r="M72" s="17">
        <f t="shared" si="7"/>
        <v>31</v>
      </c>
    </row>
    <row r="73" spans="1:13" ht="15.75" customHeight="1" x14ac:dyDescent="0.3">
      <c r="A73" s="43" t="s">
        <v>28</v>
      </c>
      <c r="B73" s="18" t="s">
        <v>58</v>
      </c>
      <c r="C73" s="44">
        <v>2357.1999999999998</v>
      </c>
      <c r="D73" s="18">
        <v>14</v>
      </c>
      <c r="E73" s="18">
        <v>12</v>
      </c>
      <c r="F73" s="18">
        <f t="shared" si="6"/>
        <v>26</v>
      </c>
      <c r="H73" s="43" t="s">
        <v>28</v>
      </c>
      <c r="I73" s="18" t="s">
        <v>58</v>
      </c>
      <c r="J73" s="44">
        <v>1429.65</v>
      </c>
      <c r="K73" s="18">
        <v>13</v>
      </c>
      <c r="L73" s="18">
        <v>17</v>
      </c>
      <c r="M73" s="18">
        <f t="shared" si="7"/>
        <v>30</v>
      </c>
    </row>
    <row r="74" spans="1:13" ht="15.75" customHeight="1" x14ac:dyDescent="0.3">
      <c r="A74" s="41" t="s">
        <v>30</v>
      </c>
      <c r="B74" s="17" t="s">
        <v>58</v>
      </c>
      <c r="C74" s="42">
        <v>-486.15</v>
      </c>
      <c r="D74" s="17">
        <v>8</v>
      </c>
      <c r="E74" s="17">
        <v>16</v>
      </c>
      <c r="F74" s="17">
        <f t="shared" si="6"/>
        <v>24</v>
      </c>
      <c r="H74" s="41" t="s">
        <v>30</v>
      </c>
      <c r="I74" s="17" t="s">
        <v>58</v>
      </c>
      <c r="J74" s="44">
        <v>174.3</v>
      </c>
      <c r="K74" s="17">
        <v>11</v>
      </c>
      <c r="L74" s="17">
        <v>16</v>
      </c>
      <c r="M74" s="17">
        <f t="shared" si="7"/>
        <v>27</v>
      </c>
    </row>
    <row r="75" spans="1:13" ht="15.75" customHeight="1" x14ac:dyDescent="0.3">
      <c r="A75" s="43" t="s">
        <v>32</v>
      </c>
      <c r="B75" s="18" t="s">
        <v>58</v>
      </c>
      <c r="C75" s="42">
        <v>-12.6</v>
      </c>
      <c r="D75" s="18">
        <v>6</v>
      </c>
      <c r="E75" s="18">
        <v>8</v>
      </c>
      <c r="F75" s="18">
        <f t="shared" si="6"/>
        <v>14</v>
      </c>
      <c r="H75" s="43" t="s">
        <v>32</v>
      </c>
      <c r="I75" s="18" t="s">
        <v>58</v>
      </c>
      <c r="J75" s="42">
        <v>-823.05</v>
      </c>
      <c r="K75" s="18">
        <v>5</v>
      </c>
      <c r="L75" s="18">
        <v>12</v>
      </c>
      <c r="M75" s="18">
        <f t="shared" si="7"/>
        <v>17</v>
      </c>
    </row>
    <row r="76" spans="1:13" ht="15.75" customHeight="1" x14ac:dyDescent="0.3">
      <c r="A76" s="41" t="s">
        <v>34</v>
      </c>
      <c r="B76" s="17" t="s">
        <v>58</v>
      </c>
      <c r="C76" s="42">
        <v>-320.3</v>
      </c>
      <c r="D76" s="17">
        <v>8</v>
      </c>
      <c r="E76" s="17">
        <v>14</v>
      </c>
      <c r="F76" s="17">
        <f t="shared" si="6"/>
        <v>22</v>
      </c>
      <c r="H76" s="41" t="s">
        <v>34</v>
      </c>
      <c r="I76" s="17" t="s">
        <v>58</v>
      </c>
      <c r="J76" s="44">
        <v>134.15</v>
      </c>
      <c r="K76" s="17">
        <v>7</v>
      </c>
      <c r="L76" s="17">
        <v>11</v>
      </c>
      <c r="M76" s="17">
        <f t="shared" si="7"/>
        <v>18</v>
      </c>
    </row>
    <row r="77" spans="1:13" ht="15.75" customHeight="1" x14ac:dyDescent="0.3">
      <c r="A77" s="43" t="s">
        <v>36</v>
      </c>
      <c r="B77" s="18" t="s">
        <v>58</v>
      </c>
      <c r="C77" s="42">
        <v>-1679.55</v>
      </c>
      <c r="D77" s="18">
        <v>9</v>
      </c>
      <c r="E77" s="18">
        <v>18</v>
      </c>
      <c r="F77" s="18">
        <f t="shared" si="6"/>
        <v>27</v>
      </c>
      <c r="H77" s="43" t="s">
        <v>36</v>
      </c>
      <c r="I77" s="18" t="s">
        <v>58</v>
      </c>
      <c r="J77" s="44">
        <v>1490.3</v>
      </c>
      <c r="K77" s="18">
        <v>13</v>
      </c>
      <c r="L77" s="18">
        <v>15</v>
      </c>
      <c r="M77" s="18">
        <f t="shared" si="7"/>
        <v>28</v>
      </c>
    </row>
    <row r="78" spans="1:13" ht="15.75" customHeight="1" x14ac:dyDescent="0.3">
      <c r="A78" s="41" t="s">
        <v>38</v>
      </c>
      <c r="B78" s="17" t="s">
        <v>58</v>
      </c>
      <c r="C78" s="44">
        <v>49.55</v>
      </c>
      <c r="D78" s="17">
        <v>11</v>
      </c>
      <c r="E78" s="17">
        <v>20</v>
      </c>
      <c r="F78" s="17">
        <f t="shared" si="6"/>
        <v>31</v>
      </c>
      <c r="H78" s="41" t="s">
        <v>38</v>
      </c>
      <c r="I78" s="17" t="s">
        <v>58</v>
      </c>
      <c r="J78" s="42">
        <v>-1446.4</v>
      </c>
      <c r="K78" s="17">
        <v>15</v>
      </c>
      <c r="L78" s="17">
        <v>22</v>
      </c>
      <c r="M78" s="17">
        <f t="shared" si="7"/>
        <v>37</v>
      </c>
    </row>
    <row r="79" spans="1:13" ht="15.75" customHeight="1" x14ac:dyDescent="0.3">
      <c r="A79" s="43" t="s">
        <v>40</v>
      </c>
      <c r="B79" s="18" t="s">
        <v>58</v>
      </c>
      <c r="C79" s="42">
        <v>-438.75</v>
      </c>
      <c r="D79" s="18">
        <v>10</v>
      </c>
      <c r="E79" s="18">
        <v>13</v>
      </c>
      <c r="F79" s="18">
        <f t="shared" si="6"/>
        <v>23</v>
      </c>
      <c r="H79" s="43" t="s">
        <v>40</v>
      </c>
      <c r="I79" s="18" t="s">
        <v>58</v>
      </c>
      <c r="J79" s="44">
        <v>664.55</v>
      </c>
      <c r="K79" s="18">
        <v>14</v>
      </c>
      <c r="L79" s="18">
        <v>15</v>
      </c>
      <c r="M79" s="18">
        <f t="shared" si="7"/>
        <v>29</v>
      </c>
    </row>
    <row r="80" spans="1:13" ht="15.75" customHeight="1" x14ac:dyDescent="0.3">
      <c r="A80" s="41" t="s">
        <v>42</v>
      </c>
      <c r="B80" s="17" t="s">
        <v>58</v>
      </c>
      <c r="C80" s="42">
        <v>-853.05</v>
      </c>
      <c r="D80" s="17">
        <v>7</v>
      </c>
      <c r="E80" s="17">
        <v>17</v>
      </c>
      <c r="F80" s="17">
        <f t="shared" si="6"/>
        <v>24</v>
      </c>
      <c r="H80" s="41" t="s">
        <v>42</v>
      </c>
      <c r="I80" s="17" t="s">
        <v>58</v>
      </c>
      <c r="J80" s="44">
        <v>500.4</v>
      </c>
      <c r="K80" s="17">
        <v>12</v>
      </c>
      <c r="L80" s="17">
        <v>15</v>
      </c>
      <c r="M80" s="17">
        <f t="shared" si="7"/>
        <v>27</v>
      </c>
    </row>
    <row r="81" spans="1:13" ht="15.75" customHeight="1" x14ac:dyDescent="0.3">
      <c r="A81" s="43" t="s">
        <v>44</v>
      </c>
      <c r="B81" s="18" t="s">
        <v>58</v>
      </c>
      <c r="C81" s="42">
        <v>-684.4</v>
      </c>
      <c r="D81" s="18">
        <v>10</v>
      </c>
      <c r="E81" s="18">
        <v>16</v>
      </c>
      <c r="F81" s="18">
        <f t="shared" si="6"/>
        <v>26</v>
      </c>
      <c r="H81" s="43" t="s">
        <v>44</v>
      </c>
      <c r="I81" s="18" t="s">
        <v>58</v>
      </c>
      <c r="J81" s="44">
        <v>236.65</v>
      </c>
      <c r="K81" s="18">
        <v>12</v>
      </c>
      <c r="L81" s="18">
        <v>18</v>
      </c>
      <c r="M81" s="18">
        <f t="shared" si="7"/>
        <v>30</v>
      </c>
    </row>
    <row r="82" spans="1:13" ht="24" customHeight="1" x14ac:dyDescent="0.3">
      <c r="A82" s="45" t="s">
        <v>59</v>
      </c>
      <c r="B82" s="45"/>
      <c r="C82" s="23">
        <f>SUM(C67:C81)</f>
        <v>-3133.4500000000003</v>
      </c>
      <c r="D82" s="45">
        <f>SUM(D67:D81)</f>
        <v>130</v>
      </c>
      <c r="E82" s="45">
        <f>SUM(E67:E81)</f>
        <v>226</v>
      </c>
      <c r="F82" s="45">
        <f>SUM(F67:F81)</f>
        <v>356</v>
      </c>
      <c r="H82" s="45" t="s">
        <v>59</v>
      </c>
      <c r="I82" s="45"/>
      <c r="J82" s="21">
        <f>SUM(J67:J81)</f>
        <v>4678.8999999999987</v>
      </c>
      <c r="K82" s="45">
        <f>SUM(K67:K81)</f>
        <v>167</v>
      </c>
      <c r="L82" s="45">
        <f>SUM(L67:L81)</f>
        <v>223</v>
      </c>
      <c r="M82" s="45">
        <f>SUM(M67:M81)</f>
        <v>390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20603.990000000002</v>
      </c>
      <c r="E86" s="28">
        <f>SUM(D82,D62,D42,D22)</f>
        <v>682</v>
      </c>
      <c r="F86" s="28">
        <f>SUM(E82,E62,E42,E22)</f>
        <v>924</v>
      </c>
      <c r="G86" s="28">
        <f>SUM(E86:F86)</f>
        <v>1606</v>
      </c>
      <c r="H86" s="29">
        <f>E86/G86</f>
        <v>0.42465753424657532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-14573.64</v>
      </c>
      <c r="E87" s="33">
        <f>SUM(K82,K62,K42,K22)</f>
        <v>736</v>
      </c>
      <c r="F87" s="33">
        <f>SUM(L82,L62,L42,L22)</f>
        <v>1120</v>
      </c>
      <c r="G87" s="33">
        <f>SUM(E87:F87)</f>
        <v>1856</v>
      </c>
      <c r="H87" s="34">
        <f>E87/G87</f>
        <v>0.39655172413793105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6030.3500000000022</v>
      </c>
      <c r="E88" s="6">
        <f>SUM(E86:E87)</f>
        <v>1418</v>
      </c>
      <c r="F88" s="6">
        <f>SUM(F86:F87)</f>
        <v>2044</v>
      </c>
      <c r="G88" s="6">
        <f>SUM(G86:G87)</f>
        <v>3462</v>
      </c>
      <c r="H88" s="37">
        <f>AVERAGE(H86,H87)</f>
        <v>0.41060462919225316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  <row r="92" spans="1:13" x14ac:dyDescent="0.3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</row>
  </sheetData>
  <mergeCells count="19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92:M92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M90"/>
  <sheetViews>
    <sheetView showGridLines="0" zoomScaleNormal="100" workbookViewId="0">
      <pane ySplit="2" topLeftCell="A78" activePane="bottomLeft" state="frozen"/>
      <selection pane="bottomLeft" activeCell="A2" sqref="A2:M2"/>
    </sheetView>
  </sheetViews>
  <sheetFormatPr defaultColWidth="8.6640625" defaultRowHeight="14.4" x14ac:dyDescent="0.3"/>
  <cols>
    <col min="1" max="1" width="36" customWidth="1"/>
    <col min="2" max="2" width="8" customWidth="1"/>
    <col min="3" max="3" width="14.109375" customWidth="1"/>
    <col min="4" max="4" width="8" customWidth="1"/>
    <col min="5" max="5" width="7" customWidth="1"/>
    <col min="6" max="6" width="11" customWidth="1"/>
    <col min="7" max="7" width="9.109375" customWidth="1"/>
    <col min="8" max="8" width="36" customWidth="1"/>
    <col min="9" max="9" width="8" customWidth="1"/>
    <col min="10" max="10" width="14" customWidth="1"/>
    <col min="11" max="12" width="7" customWidth="1"/>
    <col min="13" max="13" width="11" customWidth="1"/>
  </cols>
  <sheetData>
    <row r="1" spans="1:13" ht="30" customHeight="1" x14ac:dyDescent="0.3">
      <c r="A1" s="93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9.5" customHeight="1" x14ac:dyDescent="0.3">
      <c r="A2" s="94" t="s">
        <v>97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21.75" customHeight="1" x14ac:dyDescent="0.3">
      <c r="A4" s="86" t="s">
        <v>50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8" customHeight="1" x14ac:dyDescent="0.3">
      <c r="A5" s="95" t="s">
        <v>51</v>
      </c>
      <c r="B5" s="95"/>
      <c r="C5" s="95"/>
      <c r="D5" s="95"/>
      <c r="E5" s="95"/>
      <c r="F5" s="95"/>
      <c r="H5" s="96" t="s">
        <v>52</v>
      </c>
      <c r="I5" s="96"/>
      <c r="J5" s="96"/>
      <c r="K5" s="96"/>
      <c r="L5" s="96"/>
      <c r="M5" s="96"/>
    </row>
    <row r="6" spans="1:13" ht="19.5" customHeight="1" x14ac:dyDescent="0.3">
      <c r="A6" s="39" t="s">
        <v>12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H6" s="40" t="s">
        <v>12</v>
      </c>
      <c r="I6" s="40" t="s">
        <v>53</v>
      </c>
      <c r="J6" s="40" t="s">
        <v>54</v>
      </c>
      <c r="K6" s="40" t="s">
        <v>55</v>
      </c>
      <c r="L6" s="40" t="s">
        <v>56</v>
      </c>
      <c r="M6" s="40" t="s">
        <v>57</v>
      </c>
    </row>
    <row r="7" spans="1:13" ht="15.75" customHeight="1" x14ac:dyDescent="0.3">
      <c r="A7" s="41" t="s">
        <v>16</v>
      </c>
      <c r="B7" s="17" t="s">
        <v>58</v>
      </c>
      <c r="C7" s="44">
        <v>1276.8</v>
      </c>
      <c r="D7" s="17">
        <v>55</v>
      </c>
      <c r="E7" s="17">
        <v>88</v>
      </c>
      <c r="F7" s="17">
        <f t="shared" ref="F7:F21" si="0">SUM(D7,E7)</f>
        <v>143</v>
      </c>
      <c r="H7" s="41" t="s">
        <v>16</v>
      </c>
      <c r="I7" s="17" t="s">
        <v>58</v>
      </c>
      <c r="J7" s="44">
        <v>808.85</v>
      </c>
      <c r="K7" s="17">
        <v>58</v>
      </c>
      <c r="L7" s="17">
        <v>83</v>
      </c>
      <c r="M7" s="17">
        <f t="shared" ref="M7:M21" si="1">SUM(K7,L7)</f>
        <v>141</v>
      </c>
    </row>
    <row r="8" spans="1:13" ht="15.75" customHeight="1" x14ac:dyDescent="0.3">
      <c r="A8" s="43" t="s">
        <v>18</v>
      </c>
      <c r="B8" s="18" t="s">
        <v>58</v>
      </c>
      <c r="C8" s="44">
        <v>5476.25</v>
      </c>
      <c r="D8" s="18">
        <v>79</v>
      </c>
      <c r="E8" s="18">
        <v>92</v>
      </c>
      <c r="F8" s="18">
        <f t="shared" si="0"/>
        <v>171</v>
      </c>
      <c r="H8" s="43" t="s">
        <v>18</v>
      </c>
      <c r="I8" s="18" t="s">
        <v>58</v>
      </c>
      <c r="J8" s="42">
        <v>-3288.85</v>
      </c>
      <c r="K8" s="18">
        <v>49</v>
      </c>
      <c r="L8" s="18">
        <v>100</v>
      </c>
      <c r="M8" s="18">
        <f t="shared" si="1"/>
        <v>149</v>
      </c>
    </row>
    <row r="9" spans="1:13" ht="15.75" customHeight="1" x14ac:dyDescent="0.3">
      <c r="A9" s="41" t="s">
        <v>20</v>
      </c>
      <c r="B9" s="17" t="s">
        <v>58</v>
      </c>
      <c r="C9" s="44">
        <v>1862.1</v>
      </c>
      <c r="D9" s="17">
        <v>65</v>
      </c>
      <c r="E9" s="17">
        <v>91</v>
      </c>
      <c r="F9" s="17">
        <f t="shared" si="0"/>
        <v>156</v>
      </c>
      <c r="H9" s="41" t="s">
        <v>20</v>
      </c>
      <c r="I9" s="17" t="s">
        <v>58</v>
      </c>
      <c r="J9" s="42">
        <v>-1914.4</v>
      </c>
      <c r="K9" s="17">
        <v>50</v>
      </c>
      <c r="L9" s="17">
        <v>96</v>
      </c>
      <c r="M9" s="17">
        <f t="shared" si="1"/>
        <v>146</v>
      </c>
    </row>
    <row r="10" spans="1:13" ht="15.75" customHeight="1" x14ac:dyDescent="0.3">
      <c r="A10" s="43" t="s">
        <v>22</v>
      </c>
      <c r="B10" s="18" t="s">
        <v>58</v>
      </c>
      <c r="C10" s="44">
        <v>2241.25</v>
      </c>
      <c r="D10" s="18">
        <v>69</v>
      </c>
      <c r="E10" s="18">
        <v>102</v>
      </c>
      <c r="F10" s="18">
        <f t="shared" si="0"/>
        <v>171</v>
      </c>
      <c r="H10" s="43" t="s">
        <v>22</v>
      </c>
      <c r="I10" s="18" t="s">
        <v>58</v>
      </c>
      <c r="J10" s="42">
        <v>-637.85</v>
      </c>
      <c r="K10" s="18">
        <v>62</v>
      </c>
      <c r="L10" s="18">
        <v>88</v>
      </c>
      <c r="M10" s="18">
        <f t="shared" si="1"/>
        <v>150</v>
      </c>
    </row>
    <row r="11" spans="1:13" ht="15.75" customHeight="1" x14ac:dyDescent="0.3">
      <c r="A11" s="41" t="s">
        <v>24</v>
      </c>
      <c r="B11" s="17" t="s">
        <v>58</v>
      </c>
      <c r="C11" s="44">
        <v>1950</v>
      </c>
      <c r="D11" s="17">
        <v>51</v>
      </c>
      <c r="E11" s="17">
        <v>72</v>
      </c>
      <c r="F11" s="17">
        <f t="shared" si="0"/>
        <v>123</v>
      </c>
      <c r="H11" s="41" t="s">
        <v>24</v>
      </c>
      <c r="I11" s="17" t="s">
        <v>58</v>
      </c>
      <c r="J11" s="42">
        <v>-2037.2</v>
      </c>
      <c r="K11" s="17">
        <v>47</v>
      </c>
      <c r="L11" s="17">
        <v>67</v>
      </c>
      <c r="M11" s="17">
        <f t="shared" si="1"/>
        <v>114</v>
      </c>
    </row>
    <row r="12" spans="1:13" ht="15.75" customHeight="1" x14ac:dyDescent="0.3">
      <c r="A12" s="43" t="s">
        <v>26</v>
      </c>
      <c r="B12" s="18" t="s">
        <v>58</v>
      </c>
      <c r="C12" s="44">
        <v>1965.45</v>
      </c>
      <c r="D12" s="18">
        <v>49</v>
      </c>
      <c r="E12" s="18">
        <v>65</v>
      </c>
      <c r="F12" s="18">
        <f t="shared" si="0"/>
        <v>114</v>
      </c>
      <c r="H12" s="43" t="s">
        <v>26</v>
      </c>
      <c r="I12" s="18" t="s">
        <v>58</v>
      </c>
      <c r="J12" s="44">
        <v>219.65</v>
      </c>
      <c r="K12" s="18">
        <v>50</v>
      </c>
      <c r="L12" s="18">
        <v>75</v>
      </c>
      <c r="M12" s="18">
        <f t="shared" si="1"/>
        <v>125</v>
      </c>
    </row>
    <row r="13" spans="1:13" ht="15.75" customHeight="1" x14ac:dyDescent="0.3">
      <c r="A13" s="41" t="s">
        <v>28</v>
      </c>
      <c r="B13" s="17" t="s">
        <v>58</v>
      </c>
      <c r="C13" s="44">
        <v>6553.75</v>
      </c>
      <c r="D13" s="17">
        <v>71</v>
      </c>
      <c r="E13" s="17">
        <v>73</v>
      </c>
      <c r="F13" s="17">
        <f t="shared" si="0"/>
        <v>144</v>
      </c>
      <c r="H13" s="41" t="s">
        <v>28</v>
      </c>
      <c r="I13" s="17" t="s">
        <v>58</v>
      </c>
      <c r="J13" s="42">
        <v>-3792.8</v>
      </c>
      <c r="K13" s="17">
        <v>48</v>
      </c>
      <c r="L13" s="17">
        <v>92</v>
      </c>
      <c r="M13" s="17">
        <f t="shared" si="1"/>
        <v>140</v>
      </c>
    </row>
    <row r="14" spans="1:13" ht="15.75" customHeight="1" x14ac:dyDescent="0.3">
      <c r="A14" s="43" t="s">
        <v>30</v>
      </c>
      <c r="B14" s="18" t="s">
        <v>58</v>
      </c>
      <c r="C14" s="42">
        <v>-182.05</v>
      </c>
      <c r="D14" s="18">
        <v>50</v>
      </c>
      <c r="E14" s="18">
        <v>68</v>
      </c>
      <c r="F14" s="18">
        <f t="shared" si="0"/>
        <v>118</v>
      </c>
      <c r="H14" s="43" t="s">
        <v>30</v>
      </c>
      <c r="I14" s="18" t="s">
        <v>58</v>
      </c>
      <c r="J14" s="44">
        <v>2104.4</v>
      </c>
      <c r="K14" s="18">
        <v>56</v>
      </c>
      <c r="L14" s="18">
        <v>61</v>
      </c>
      <c r="M14" s="18">
        <f t="shared" si="1"/>
        <v>117</v>
      </c>
    </row>
    <row r="15" spans="1:13" ht="15.75" customHeight="1" x14ac:dyDescent="0.3">
      <c r="A15" s="41" t="s">
        <v>32</v>
      </c>
      <c r="B15" s="17" t="s">
        <v>58</v>
      </c>
      <c r="C15" s="44">
        <v>3512.35</v>
      </c>
      <c r="D15" s="17">
        <v>63</v>
      </c>
      <c r="E15" s="17">
        <v>82</v>
      </c>
      <c r="F15" s="17">
        <f t="shared" si="0"/>
        <v>145</v>
      </c>
      <c r="H15" s="41" t="s">
        <v>32</v>
      </c>
      <c r="I15" s="17" t="s">
        <v>58</v>
      </c>
      <c r="J15" s="42">
        <v>-3966.85</v>
      </c>
      <c r="K15" s="17">
        <v>40</v>
      </c>
      <c r="L15" s="17">
        <v>81</v>
      </c>
      <c r="M15" s="17">
        <f t="shared" si="1"/>
        <v>121</v>
      </c>
    </row>
    <row r="16" spans="1:13" ht="15.75" customHeight="1" x14ac:dyDescent="0.3">
      <c r="A16" s="43" t="s">
        <v>34</v>
      </c>
      <c r="B16" s="18" t="s">
        <v>58</v>
      </c>
      <c r="C16" s="44">
        <v>5981.25</v>
      </c>
      <c r="D16" s="18">
        <v>70</v>
      </c>
      <c r="E16" s="18">
        <v>69</v>
      </c>
      <c r="F16" s="18">
        <f t="shared" si="0"/>
        <v>139</v>
      </c>
      <c r="H16" s="43" t="s">
        <v>34</v>
      </c>
      <c r="I16" s="18" t="s">
        <v>58</v>
      </c>
      <c r="J16" s="42">
        <v>-4166.12</v>
      </c>
      <c r="K16" s="18">
        <v>46</v>
      </c>
      <c r="L16" s="18">
        <v>90</v>
      </c>
      <c r="M16" s="18">
        <f t="shared" si="1"/>
        <v>136</v>
      </c>
    </row>
    <row r="17" spans="1:13" ht="15.75" customHeight="1" x14ac:dyDescent="0.3">
      <c r="A17" s="41" t="s">
        <v>36</v>
      </c>
      <c r="B17" s="17" t="s">
        <v>58</v>
      </c>
      <c r="C17" s="44">
        <v>4565.5200000000004</v>
      </c>
      <c r="D17" s="17">
        <v>67</v>
      </c>
      <c r="E17" s="17">
        <v>76</v>
      </c>
      <c r="F17" s="17">
        <f t="shared" si="0"/>
        <v>143</v>
      </c>
      <c r="H17" s="41" t="s">
        <v>36</v>
      </c>
      <c r="I17" s="17" t="s">
        <v>58</v>
      </c>
      <c r="J17" s="42">
        <v>-3119.88</v>
      </c>
      <c r="K17" s="17">
        <v>53</v>
      </c>
      <c r="L17" s="17">
        <v>89</v>
      </c>
      <c r="M17" s="17">
        <f t="shared" si="1"/>
        <v>142</v>
      </c>
    </row>
    <row r="18" spans="1:13" ht="15.75" customHeight="1" x14ac:dyDescent="0.3">
      <c r="A18" s="43" t="s">
        <v>38</v>
      </c>
      <c r="B18" s="18" t="s">
        <v>58</v>
      </c>
      <c r="C18" s="44">
        <v>3868.2</v>
      </c>
      <c r="D18" s="18">
        <v>63</v>
      </c>
      <c r="E18" s="18">
        <v>73</v>
      </c>
      <c r="F18" s="18">
        <f t="shared" si="0"/>
        <v>136</v>
      </c>
      <c r="H18" s="43" t="s">
        <v>38</v>
      </c>
      <c r="I18" s="18" t="s">
        <v>58</v>
      </c>
      <c r="J18" s="44">
        <v>970.8</v>
      </c>
      <c r="K18" s="18">
        <v>52</v>
      </c>
      <c r="L18" s="18">
        <v>68</v>
      </c>
      <c r="M18" s="18">
        <f t="shared" si="1"/>
        <v>120</v>
      </c>
    </row>
    <row r="19" spans="1:13" ht="15.75" customHeight="1" x14ac:dyDescent="0.3">
      <c r="A19" s="41" t="s">
        <v>40</v>
      </c>
      <c r="B19" s="17" t="s">
        <v>58</v>
      </c>
      <c r="C19" s="44">
        <v>2161</v>
      </c>
      <c r="D19" s="17">
        <v>63</v>
      </c>
      <c r="E19" s="17">
        <v>79</v>
      </c>
      <c r="F19" s="17">
        <f t="shared" si="0"/>
        <v>142</v>
      </c>
      <c r="H19" s="41" t="s">
        <v>40</v>
      </c>
      <c r="I19" s="17" t="s">
        <v>58</v>
      </c>
      <c r="J19" s="42">
        <v>-334.75</v>
      </c>
      <c r="K19" s="17">
        <v>49</v>
      </c>
      <c r="L19" s="17">
        <v>77</v>
      </c>
      <c r="M19" s="17">
        <f t="shared" si="1"/>
        <v>126</v>
      </c>
    </row>
    <row r="20" spans="1:13" ht="15.75" customHeight="1" x14ac:dyDescent="0.3">
      <c r="A20" s="43" t="s">
        <v>42</v>
      </c>
      <c r="B20" s="18" t="s">
        <v>58</v>
      </c>
      <c r="C20" s="44">
        <v>932.15</v>
      </c>
      <c r="D20" s="18">
        <v>57</v>
      </c>
      <c r="E20" s="18">
        <v>84</v>
      </c>
      <c r="F20" s="18">
        <f t="shared" si="0"/>
        <v>141</v>
      </c>
      <c r="H20" s="43" t="s">
        <v>42</v>
      </c>
      <c r="I20" s="18" t="s">
        <v>58</v>
      </c>
      <c r="J20" s="42">
        <v>-633.45000000000005</v>
      </c>
      <c r="K20" s="18">
        <v>53</v>
      </c>
      <c r="L20" s="18">
        <v>81</v>
      </c>
      <c r="M20" s="18">
        <f t="shared" si="1"/>
        <v>134</v>
      </c>
    </row>
    <row r="21" spans="1:13" ht="15.75" customHeight="1" x14ac:dyDescent="0.3">
      <c r="A21" s="41" t="s">
        <v>44</v>
      </c>
      <c r="B21" s="17" t="s">
        <v>58</v>
      </c>
      <c r="C21" s="44">
        <v>1030.95</v>
      </c>
      <c r="D21" s="17">
        <v>50</v>
      </c>
      <c r="E21" s="17">
        <v>53</v>
      </c>
      <c r="F21" s="17">
        <f t="shared" si="0"/>
        <v>103</v>
      </c>
      <c r="H21" s="41" t="s">
        <v>44</v>
      </c>
      <c r="I21" s="17" t="s">
        <v>58</v>
      </c>
      <c r="J21" s="44">
        <v>452.1</v>
      </c>
      <c r="K21" s="17">
        <v>49</v>
      </c>
      <c r="L21" s="17">
        <v>51</v>
      </c>
      <c r="M21" s="17">
        <f t="shared" si="1"/>
        <v>100</v>
      </c>
    </row>
    <row r="22" spans="1:13" ht="24" customHeight="1" x14ac:dyDescent="0.3">
      <c r="A22" s="45" t="s">
        <v>59</v>
      </c>
      <c r="B22" s="45"/>
      <c r="C22" s="21">
        <f>SUM(C7:C21)</f>
        <v>43194.969999999994</v>
      </c>
      <c r="D22" s="45">
        <f>SUM(D7:D21)</f>
        <v>922</v>
      </c>
      <c r="E22" s="45">
        <f>SUM(E7:E21)</f>
        <v>1167</v>
      </c>
      <c r="F22" s="45">
        <f>SUM(F7:F21)</f>
        <v>2089</v>
      </c>
      <c r="H22" s="45" t="s">
        <v>59</v>
      </c>
      <c r="I22" s="45"/>
      <c r="J22" s="23">
        <f>SUM(J7:J21)</f>
        <v>-19336.350000000006</v>
      </c>
      <c r="K22" s="45">
        <f>SUM(K7:K21)</f>
        <v>762</v>
      </c>
      <c r="L22" s="45">
        <f>SUM(L7:L21)</f>
        <v>1199</v>
      </c>
      <c r="M22" s="45">
        <f>SUM(M7:M21)</f>
        <v>1961</v>
      </c>
    </row>
    <row r="24" spans="1:13" ht="21.75" customHeight="1" x14ac:dyDescent="0.3">
      <c r="A24" s="86" t="s">
        <v>60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13" ht="18" customHeight="1" x14ac:dyDescent="0.3">
      <c r="A25" s="95" t="s">
        <v>51</v>
      </c>
      <c r="B25" s="95"/>
      <c r="C25" s="95"/>
      <c r="D25" s="95"/>
      <c r="E25" s="95"/>
      <c r="F25" s="95"/>
      <c r="H25" s="96" t="s">
        <v>52</v>
      </c>
      <c r="I25" s="96"/>
      <c r="J25" s="96"/>
      <c r="K25" s="96"/>
      <c r="L25" s="96"/>
      <c r="M25" s="96"/>
    </row>
    <row r="26" spans="1:13" ht="19.5" customHeight="1" x14ac:dyDescent="0.3">
      <c r="A26" s="39" t="s">
        <v>12</v>
      </c>
      <c r="B26" s="39" t="s">
        <v>53</v>
      </c>
      <c r="C26" s="39" t="s">
        <v>54</v>
      </c>
      <c r="D26" s="39" t="s">
        <v>55</v>
      </c>
      <c r="E26" s="39" t="s">
        <v>56</v>
      </c>
      <c r="F26" s="39" t="s">
        <v>57</v>
      </c>
      <c r="H26" s="40" t="s">
        <v>12</v>
      </c>
      <c r="I26" s="40" t="s">
        <v>53</v>
      </c>
      <c r="J26" s="40" t="s">
        <v>54</v>
      </c>
      <c r="K26" s="40" t="s">
        <v>55</v>
      </c>
      <c r="L26" s="40" t="s">
        <v>56</v>
      </c>
      <c r="M26" s="40" t="s">
        <v>57</v>
      </c>
    </row>
    <row r="27" spans="1:13" ht="15.75" customHeight="1" x14ac:dyDescent="0.3">
      <c r="A27" s="43" t="s">
        <v>16</v>
      </c>
      <c r="B27" s="18" t="s">
        <v>58</v>
      </c>
      <c r="C27" s="42">
        <v>-227.05</v>
      </c>
      <c r="D27" s="18">
        <v>51</v>
      </c>
      <c r="E27" s="18">
        <v>77</v>
      </c>
      <c r="F27" s="18">
        <f t="shared" ref="F27:F41" si="2">SUM(D27,E27)</f>
        <v>128</v>
      </c>
      <c r="H27" s="43" t="s">
        <v>16</v>
      </c>
      <c r="I27" s="18" t="s">
        <v>58</v>
      </c>
      <c r="J27" s="44">
        <v>2904.95</v>
      </c>
      <c r="K27" s="18">
        <v>62</v>
      </c>
      <c r="L27" s="18">
        <v>63</v>
      </c>
      <c r="M27" s="18">
        <f t="shared" ref="M27:M41" si="3">SUM(K27,L27)</f>
        <v>125</v>
      </c>
    </row>
    <row r="28" spans="1:13" ht="15.75" customHeight="1" x14ac:dyDescent="0.3">
      <c r="A28" s="41" t="s">
        <v>18</v>
      </c>
      <c r="B28" s="17" t="s">
        <v>58</v>
      </c>
      <c r="C28" s="42">
        <v>-449.4</v>
      </c>
      <c r="D28" s="17">
        <v>53</v>
      </c>
      <c r="E28" s="17">
        <v>77</v>
      </c>
      <c r="F28" s="17">
        <f t="shared" si="2"/>
        <v>130</v>
      </c>
      <c r="H28" s="41" t="s">
        <v>18</v>
      </c>
      <c r="I28" s="17" t="s">
        <v>58</v>
      </c>
      <c r="J28" s="44">
        <v>1522.9</v>
      </c>
      <c r="K28" s="17">
        <v>60</v>
      </c>
      <c r="L28" s="17">
        <v>73</v>
      </c>
      <c r="M28" s="17">
        <f t="shared" si="3"/>
        <v>133</v>
      </c>
    </row>
    <row r="29" spans="1:13" ht="15.75" customHeight="1" x14ac:dyDescent="0.3">
      <c r="A29" s="43" t="s">
        <v>20</v>
      </c>
      <c r="B29" s="18" t="s">
        <v>58</v>
      </c>
      <c r="C29" s="42">
        <v>-3251.25</v>
      </c>
      <c r="D29" s="18">
        <v>46</v>
      </c>
      <c r="E29" s="18">
        <v>90</v>
      </c>
      <c r="F29" s="18">
        <f t="shared" si="2"/>
        <v>136</v>
      </c>
      <c r="H29" s="43" t="s">
        <v>20</v>
      </c>
      <c r="I29" s="18" t="s">
        <v>58</v>
      </c>
      <c r="J29" s="44">
        <v>3522.1</v>
      </c>
      <c r="K29" s="18">
        <v>64</v>
      </c>
      <c r="L29" s="18">
        <v>67</v>
      </c>
      <c r="M29" s="18">
        <f t="shared" si="3"/>
        <v>131</v>
      </c>
    </row>
    <row r="30" spans="1:13" ht="15.75" customHeight="1" x14ac:dyDescent="0.3">
      <c r="A30" s="41" t="s">
        <v>22</v>
      </c>
      <c r="B30" s="17" t="s">
        <v>58</v>
      </c>
      <c r="C30" s="44">
        <v>1608.85</v>
      </c>
      <c r="D30" s="17">
        <v>58</v>
      </c>
      <c r="E30" s="17">
        <v>86</v>
      </c>
      <c r="F30" s="17">
        <f t="shared" si="2"/>
        <v>144</v>
      </c>
      <c r="H30" s="41" t="s">
        <v>22</v>
      </c>
      <c r="I30" s="17" t="s">
        <v>58</v>
      </c>
      <c r="J30" s="44">
        <v>3308.45</v>
      </c>
      <c r="K30" s="17">
        <v>58</v>
      </c>
      <c r="L30" s="17">
        <v>66</v>
      </c>
      <c r="M30" s="17">
        <f t="shared" si="3"/>
        <v>124</v>
      </c>
    </row>
    <row r="31" spans="1:13" ht="15.75" customHeight="1" x14ac:dyDescent="0.3">
      <c r="A31" s="43" t="s">
        <v>24</v>
      </c>
      <c r="B31" s="18" t="s">
        <v>58</v>
      </c>
      <c r="C31" s="42">
        <v>-2577.1999999999998</v>
      </c>
      <c r="D31" s="18">
        <v>55</v>
      </c>
      <c r="E31" s="18">
        <v>79</v>
      </c>
      <c r="F31" s="18">
        <f t="shared" si="2"/>
        <v>134</v>
      </c>
      <c r="H31" s="43" t="s">
        <v>24</v>
      </c>
      <c r="I31" s="18" t="s">
        <v>58</v>
      </c>
      <c r="J31" s="44">
        <v>2441</v>
      </c>
      <c r="K31" s="18">
        <v>55</v>
      </c>
      <c r="L31" s="18">
        <v>66</v>
      </c>
      <c r="M31" s="18">
        <f t="shared" si="3"/>
        <v>121</v>
      </c>
    </row>
    <row r="32" spans="1:13" ht="15.75" customHeight="1" x14ac:dyDescent="0.3">
      <c r="A32" s="41" t="s">
        <v>26</v>
      </c>
      <c r="B32" s="17" t="s">
        <v>58</v>
      </c>
      <c r="C32" s="42">
        <v>-3103.3</v>
      </c>
      <c r="D32" s="17">
        <v>37</v>
      </c>
      <c r="E32" s="17">
        <v>63</v>
      </c>
      <c r="F32" s="17">
        <f t="shared" si="2"/>
        <v>100</v>
      </c>
      <c r="H32" s="41" t="s">
        <v>26</v>
      </c>
      <c r="I32" s="17" t="s">
        <v>58</v>
      </c>
      <c r="J32" s="44">
        <v>3126.65</v>
      </c>
      <c r="K32" s="17">
        <v>47</v>
      </c>
      <c r="L32" s="17">
        <v>35</v>
      </c>
      <c r="M32" s="17">
        <f t="shared" si="3"/>
        <v>82</v>
      </c>
    </row>
    <row r="33" spans="1:13" ht="15.75" customHeight="1" x14ac:dyDescent="0.3">
      <c r="A33" s="43" t="s">
        <v>28</v>
      </c>
      <c r="B33" s="18" t="s">
        <v>58</v>
      </c>
      <c r="C33" s="42">
        <v>-682.25</v>
      </c>
      <c r="D33" s="18">
        <v>61</v>
      </c>
      <c r="E33" s="18">
        <v>95</v>
      </c>
      <c r="F33" s="18">
        <f t="shared" si="2"/>
        <v>156</v>
      </c>
      <c r="H33" s="43" t="s">
        <v>28</v>
      </c>
      <c r="I33" s="18" t="s">
        <v>58</v>
      </c>
      <c r="J33" s="44">
        <v>3194.75</v>
      </c>
      <c r="K33" s="18">
        <v>63</v>
      </c>
      <c r="L33" s="18">
        <v>69</v>
      </c>
      <c r="M33" s="18">
        <f t="shared" si="3"/>
        <v>132</v>
      </c>
    </row>
    <row r="34" spans="1:13" ht="15.75" customHeight="1" x14ac:dyDescent="0.3">
      <c r="A34" s="41" t="s">
        <v>30</v>
      </c>
      <c r="B34" s="17" t="s">
        <v>58</v>
      </c>
      <c r="C34" s="44">
        <v>2502.65</v>
      </c>
      <c r="D34" s="17">
        <v>50</v>
      </c>
      <c r="E34" s="17">
        <v>56</v>
      </c>
      <c r="F34" s="17">
        <f t="shared" si="2"/>
        <v>106</v>
      </c>
      <c r="H34" s="41" t="s">
        <v>30</v>
      </c>
      <c r="I34" s="17" t="s">
        <v>58</v>
      </c>
      <c r="J34" s="42">
        <v>-188.55</v>
      </c>
      <c r="K34" s="17">
        <v>44</v>
      </c>
      <c r="L34" s="17">
        <v>55</v>
      </c>
      <c r="M34" s="17">
        <f t="shared" si="3"/>
        <v>99</v>
      </c>
    </row>
    <row r="35" spans="1:13" ht="15.75" customHeight="1" x14ac:dyDescent="0.3">
      <c r="A35" s="43" t="s">
        <v>32</v>
      </c>
      <c r="B35" s="18" t="s">
        <v>58</v>
      </c>
      <c r="C35" s="42">
        <v>-761.55</v>
      </c>
      <c r="D35" s="18">
        <v>46</v>
      </c>
      <c r="E35" s="18">
        <v>71</v>
      </c>
      <c r="F35" s="18">
        <f t="shared" si="2"/>
        <v>117</v>
      </c>
      <c r="H35" s="43" t="s">
        <v>32</v>
      </c>
      <c r="I35" s="18" t="s">
        <v>58</v>
      </c>
      <c r="J35" s="44">
        <v>2476</v>
      </c>
      <c r="K35" s="18">
        <v>56</v>
      </c>
      <c r="L35" s="18">
        <v>63</v>
      </c>
      <c r="M35" s="18">
        <f t="shared" si="3"/>
        <v>119</v>
      </c>
    </row>
    <row r="36" spans="1:13" ht="15.75" customHeight="1" x14ac:dyDescent="0.3">
      <c r="A36" s="41" t="s">
        <v>34</v>
      </c>
      <c r="B36" s="17" t="s">
        <v>58</v>
      </c>
      <c r="C36" s="42">
        <v>-17.73</v>
      </c>
      <c r="D36" s="17">
        <v>57</v>
      </c>
      <c r="E36" s="17">
        <v>78</v>
      </c>
      <c r="F36" s="17">
        <f t="shared" si="2"/>
        <v>135</v>
      </c>
      <c r="H36" s="41" t="s">
        <v>34</v>
      </c>
      <c r="I36" s="17" t="s">
        <v>58</v>
      </c>
      <c r="J36" s="44">
        <v>1739.47</v>
      </c>
      <c r="K36" s="17">
        <v>52</v>
      </c>
      <c r="L36" s="17">
        <v>53</v>
      </c>
      <c r="M36" s="17">
        <f t="shared" si="3"/>
        <v>105</v>
      </c>
    </row>
    <row r="37" spans="1:13" ht="15.75" customHeight="1" x14ac:dyDescent="0.3">
      <c r="A37" s="43" t="s">
        <v>36</v>
      </c>
      <c r="B37" s="18" t="s">
        <v>58</v>
      </c>
      <c r="C37" s="42">
        <v>-1026.8499999999999</v>
      </c>
      <c r="D37" s="18">
        <v>52</v>
      </c>
      <c r="E37" s="18">
        <v>89</v>
      </c>
      <c r="F37" s="18">
        <f t="shared" si="2"/>
        <v>141</v>
      </c>
      <c r="H37" s="43" t="s">
        <v>36</v>
      </c>
      <c r="I37" s="18" t="s">
        <v>58</v>
      </c>
      <c r="J37" s="44">
        <v>1990.35</v>
      </c>
      <c r="K37" s="18">
        <v>56</v>
      </c>
      <c r="L37" s="18">
        <v>61</v>
      </c>
      <c r="M37" s="18">
        <f t="shared" si="3"/>
        <v>117</v>
      </c>
    </row>
    <row r="38" spans="1:13" ht="15.75" customHeight="1" x14ac:dyDescent="0.3">
      <c r="A38" s="41" t="s">
        <v>38</v>
      </c>
      <c r="B38" s="17" t="s">
        <v>58</v>
      </c>
      <c r="C38" s="42">
        <v>-234.55</v>
      </c>
      <c r="D38" s="17">
        <v>51</v>
      </c>
      <c r="E38" s="17">
        <v>59</v>
      </c>
      <c r="F38" s="17">
        <f t="shared" si="2"/>
        <v>110</v>
      </c>
      <c r="H38" s="41" t="s">
        <v>38</v>
      </c>
      <c r="I38" s="17" t="s">
        <v>58</v>
      </c>
      <c r="J38" s="42">
        <v>-633.29999999999995</v>
      </c>
      <c r="K38" s="17">
        <v>41</v>
      </c>
      <c r="L38" s="17">
        <v>55</v>
      </c>
      <c r="M38" s="17">
        <f t="shared" si="3"/>
        <v>96</v>
      </c>
    </row>
    <row r="39" spans="1:13" ht="15.75" customHeight="1" x14ac:dyDescent="0.3">
      <c r="A39" s="43" t="s">
        <v>40</v>
      </c>
      <c r="B39" s="18" t="s">
        <v>58</v>
      </c>
      <c r="C39" s="44">
        <v>600.85</v>
      </c>
      <c r="D39" s="18">
        <v>52</v>
      </c>
      <c r="E39" s="18">
        <v>63</v>
      </c>
      <c r="F39" s="18">
        <f t="shared" si="2"/>
        <v>115</v>
      </c>
      <c r="H39" s="43" t="s">
        <v>40</v>
      </c>
      <c r="I39" s="18" t="s">
        <v>58</v>
      </c>
      <c r="J39" s="42">
        <v>-179.15</v>
      </c>
      <c r="K39" s="18">
        <v>49</v>
      </c>
      <c r="L39" s="18">
        <v>56</v>
      </c>
      <c r="M39" s="18">
        <f t="shared" si="3"/>
        <v>105</v>
      </c>
    </row>
    <row r="40" spans="1:13" ht="15.75" customHeight="1" x14ac:dyDescent="0.3">
      <c r="A40" s="41" t="s">
        <v>42</v>
      </c>
      <c r="B40" s="17" t="s">
        <v>58</v>
      </c>
      <c r="C40" s="44">
        <v>296.75</v>
      </c>
      <c r="D40" s="17">
        <v>46</v>
      </c>
      <c r="E40" s="17">
        <v>57</v>
      </c>
      <c r="F40" s="17">
        <f t="shared" si="2"/>
        <v>103</v>
      </c>
      <c r="H40" s="41" t="s">
        <v>42</v>
      </c>
      <c r="I40" s="17" t="s">
        <v>58</v>
      </c>
      <c r="J40" s="44">
        <v>1526.05</v>
      </c>
      <c r="K40" s="17">
        <v>53</v>
      </c>
      <c r="L40" s="17">
        <v>58</v>
      </c>
      <c r="M40" s="17">
        <f t="shared" si="3"/>
        <v>111</v>
      </c>
    </row>
    <row r="41" spans="1:13" ht="15.75" customHeight="1" x14ac:dyDescent="0.3">
      <c r="A41" s="43" t="s">
        <v>44</v>
      </c>
      <c r="B41" s="18" t="s">
        <v>58</v>
      </c>
      <c r="C41" s="44">
        <v>707.05</v>
      </c>
      <c r="D41" s="18">
        <v>45</v>
      </c>
      <c r="E41" s="18">
        <v>50</v>
      </c>
      <c r="F41" s="18">
        <f t="shared" si="2"/>
        <v>95</v>
      </c>
      <c r="H41" s="43" t="s">
        <v>44</v>
      </c>
      <c r="I41" s="18" t="s">
        <v>58</v>
      </c>
      <c r="J41" s="42">
        <v>-705.05</v>
      </c>
      <c r="K41" s="18">
        <v>39</v>
      </c>
      <c r="L41" s="18">
        <v>53</v>
      </c>
      <c r="M41" s="18">
        <f t="shared" si="3"/>
        <v>92</v>
      </c>
    </row>
    <row r="42" spans="1:13" ht="24" customHeight="1" x14ac:dyDescent="0.3">
      <c r="A42" s="45" t="s">
        <v>59</v>
      </c>
      <c r="B42" s="45"/>
      <c r="C42" s="21">
        <f>SUM(C27:C41)</f>
        <v>-6614.9799999999968</v>
      </c>
      <c r="D42" s="45">
        <f>SUM(D27:D41)</f>
        <v>760</v>
      </c>
      <c r="E42" s="45">
        <f>SUM(E27:E41)</f>
        <v>1090</v>
      </c>
      <c r="F42" s="45">
        <f>SUM(F27:F41)</f>
        <v>1850</v>
      </c>
      <c r="H42" s="45" t="s">
        <v>59</v>
      </c>
      <c r="I42" s="45"/>
      <c r="J42" s="21">
        <f>SUM(J27:J41)</f>
        <v>26046.620000000003</v>
      </c>
      <c r="K42" s="45">
        <f>SUM(K27:K41)</f>
        <v>799</v>
      </c>
      <c r="L42" s="45">
        <f>SUM(L27:L41)</f>
        <v>893</v>
      </c>
      <c r="M42" s="45">
        <f>SUM(M27:M41)</f>
        <v>1692</v>
      </c>
    </row>
    <row r="44" spans="1:13" ht="21.75" customHeight="1" x14ac:dyDescent="0.3">
      <c r="A44" s="86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ht="18" customHeight="1" x14ac:dyDescent="0.3">
      <c r="A45" s="95" t="s">
        <v>51</v>
      </c>
      <c r="B45" s="95"/>
      <c r="C45" s="95"/>
      <c r="D45" s="95"/>
      <c r="E45" s="95"/>
      <c r="F45" s="95"/>
      <c r="H45" s="96" t="s">
        <v>52</v>
      </c>
      <c r="I45" s="96"/>
      <c r="J45" s="96"/>
      <c r="K45" s="96"/>
      <c r="L45" s="96"/>
      <c r="M45" s="96"/>
    </row>
    <row r="46" spans="1:13" ht="19.5" customHeight="1" x14ac:dyDescent="0.3">
      <c r="A46" s="39" t="s">
        <v>12</v>
      </c>
      <c r="B46" s="39" t="s">
        <v>53</v>
      </c>
      <c r="C46" s="39" t="s">
        <v>54</v>
      </c>
      <c r="D46" s="39" t="s">
        <v>55</v>
      </c>
      <c r="E46" s="39" t="s">
        <v>56</v>
      </c>
      <c r="F46" s="39" t="s">
        <v>57</v>
      </c>
      <c r="H46" s="40" t="s">
        <v>12</v>
      </c>
      <c r="I46" s="40" t="s">
        <v>53</v>
      </c>
      <c r="J46" s="40" t="s">
        <v>54</v>
      </c>
      <c r="K46" s="40" t="s">
        <v>55</v>
      </c>
      <c r="L46" s="40" t="s">
        <v>56</v>
      </c>
      <c r="M46" s="40" t="s">
        <v>57</v>
      </c>
    </row>
    <row r="47" spans="1:13" ht="15.75" customHeight="1" x14ac:dyDescent="0.3">
      <c r="A47" s="41" t="s">
        <v>16</v>
      </c>
      <c r="B47" s="17" t="s">
        <v>58</v>
      </c>
      <c r="C47" s="44">
        <v>758.2</v>
      </c>
      <c r="D47" s="17">
        <v>44</v>
      </c>
      <c r="E47" s="17">
        <v>72</v>
      </c>
      <c r="F47" s="17">
        <f t="shared" ref="F47:F61" si="4">SUM(D47,E47)</f>
        <v>116</v>
      </c>
      <c r="H47" s="41" t="s">
        <v>16</v>
      </c>
      <c r="I47" s="17" t="s">
        <v>58</v>
      </c>
      <c r="J47" s="42">
        <v>-386.4</v>
      </c>
      <c r="K47" s="17">
        <v>51</v>
      </c>
      <c r="L47" s="17">
        <v>68</v>
      </c>
      <c r="M47" s="17">
        <f t="shared" ref="M47:M61" si="5">SUM(K47,L47)</f>
        <v>119</v>
      </c>
    </row>
    <row r="48" spans="1:13" ht="15.75" customHeight="1" x14ac:dyDescent="0.3">
      <c r="A48" s="43" t="s">
        <v>18</v>
      </c>
      <c r="B48" s="18" t="s">
        <v>58</v>
      </c>
      <c r="C48" s="42">
        <v>-1619.3</v>
      </c>
      <c r="D48" s="18">
        <v>48</v>
      </c>
      <c r="E48" s="18">
        <v>79</v>
      </c>
      <c r="F48" s="18">
        <f t="shared" si="4"/>
        <v>127</v>
      </c>
      <c r="H48" s="43" t="s">
        <v>18</v>
      </c>
      <c r="I48" s="18" t="s">
        <v>58</v>
      </c>
      <c r="J48" s="44">
        <v>4286.8999999999996</v>
      </c>
      <c r="K48" s="18">
        <v>54</v>
      </c>
      <c r="L48" s="18">
        <v>55</v>
      </c>
      <c r="M48" s="18">
        <f t="shared" si="5"/>
        <v>109</v>
      </c>
    </row>
    <row r="49" spans="1:13" ht="15.75" customHeight="1" x14ac:dyDescent="0.3">
      <c r="A49" s="41" t="s">
        <v>20</v>
      </c>
      <c r="B49" s="17" t="s">
        <v>58</v>
      </c>
      <c r="C49" s="44">
        <v>3685.45</v>
      </c>
      <c r="D49" s="17">
        <v>58</v>
      </c>
      <c r="E49" s="17">
        <v>71</v>
      </c>
      <c r="F49" s="17">
        <f t="shared" si="4"/>
        <v>129</v>
      </c>
      <c r="H49" s="41" t="s">
        <v>20</v>
      </c>
      <c r="I49" s="17" t="s">
        <v>58</v>
      </c>
      <c r="J49" s="44">
        <v>114.15</v>
      </c>
      <c r="K49" s="17">
        <v>55</v>
      </c>
      <c r="L49" s="17">
        <v>77</v>
      </c>
      <c r="M49" s="17">
        <f t="shared" si="5"/>
        <v>132</v>
      </c>
    </row>
    <row r="50" spans="1:13" ht="15.75" customHeight="1" x14ac:dyDescent="0.3">
      <c r="A50" s="43" t="s">
        <v>22</v>
      </c>
      <c r="B50" s="18" t="s">
        <v>58</v>
      </c>
      <c r="C50" s="44">
        <v>2891.25</v>
      </c>
      <c r="D50" s="18">
        <v>58</v>
      </c>
      <c r="E50" s="18">
        <v>75</v>
      </c>
      <c r="F50" s="18">
        <f t="shared" si="4"/>
        <v>133</v>
      </c>
      <c r="H50" s="43" t="s">
        <v>22</v>
      </c>
      <c r="I50" s="18" t="s">
        <v>58</v>
      </c>
      <c r="J50" s="44">
        <v>220.05</v>
      </c>
      <c r="K50" s="18">
        <v>53</v>
      </c>
      <c r="L50" s="18">
        <v>64</v>
      </c>
      <c r="M50" s="18">
        <f t="shared" si="5"/>
        <v>117</v>
      </c>
    </row>
    <row r="51" spans="1:13" ht="15.75" customHeight="1" x14ac:dyDescent="0.3">
      <c r="A51" s="41" t="s">
        <v>24</v>
      </c>
      <c r="B51" s="17" t="s">
        <v>58</v>
      </c>
      <c r="C51" s="42">
        <v>-1900.15</v>
      </c>
      <c r="D51" s="17">
        <v>47</v>
      </c>
      <c r="E51" s="17">
        <v>77</v>
      </c>
      <c r="F51" s="17">
        <f t="shared" si="4"/>
        <v>124</v>
      </c>
      <c r="H51" s="41" t="s">
        <v>24</v>
      </c>
      <c r="I51" s="17" t="s">
        <v>58</v>
      </c>
      <c r="J51" s="42">
        <v>-1897.95</v>
      </c>
      <c r="K51" s="17">
        <v>51</v>
      </c>
      <c r="L51" s="17">
        <v>70</v>
      </c>
      <c r="M51" s="17">
        <f t="shared" si="5"/>
        <v>121</v>
      </c>
    </row>
    <row r="52" spans="1:13" ht="15.75" customHeight="1" x14ac:dyDescent="0.3">
      <c r="A52" s="43" t="s">
        <v>26</v>
      </c>
      <c r="B52" s="18" t="s">
        <v>58</v>
      </c>
      <c r="C52" s="42">
        <v>-1279.0999999999999</v>
      </c>
      <c r="D52" s="18">
        <v>34</v>
      </c>
      <c r="E52" s="18">
        <v>46</v>
      </c>
      <c r="F52" s="18">
        <f t="shared" si="4"/>
        <v>80</v>
      </c>
      <c r="H52" s="43" t="s">
        <v>26</v>
      </c>
      <c r="I52" s="18" t="s">
        <v>58</v>
      </c>
      <c r="J52" s="44">
        <v>1952.5</v>
      </c>
      <c r="K52" s="18">
        <v>41</v>
      </c>
      <c r="L52" s="18">
        <v>37</v>
      </c>
      <c r="M52" s="18">
        <f t="shared" si="5"/>
        <v>78</v>
      </c>
    </row>
    <row r="53" spans="1:13" ht="15.75" customHeight="1" x14ac:dyDescent="0.3">
      <c r="A53" s="41" t="s">
        <v>28</v>
      </c>
      <c r="B53" s="17" t="s">
        <v>58</v>
      </c>
      <c r="C53" s="44">
        <v>1899.55</v>
      </c>
      <c r="D53" s="17">
        <v>59</v>
      </c>
      <c r="E53" s="17">
        <v>76</v>
      </c>
      <c r="F53" s="17">
        <f t="shared" si="4"/>
        <v>135</v>
      </c>
      <c r="H53" s="41" t="s">
        <v>28</v>
      </c>
      <c r="I53" s="17" t="s">
        <v>58</v>
      </c>
      <c r="J53" s="44">
        <v>2255.8000000000002</v>
      </c>
      <c r="K53" s="17">
        <v>60</v>
      </c>
      <c r="L53" s="17">
        <v>76</v>
      </c>
      <c r="M53" s="17">
        <f t="shared" si="5"/>
        <v>136</v>
      </c>
    </row>
    <row r="54" spans="1:13" ht="15.75" customHeight="1" x14ac:dyDescent="0.3">
      <c r="A54" s="43" t="s">
        <v>30</v>
      </c>
      <c r="B54" s="18" t="s">
        <v>58</v>
      </c>
      <c r="C54" s="44">
        <v>6298.1</v>
      </c>
      <c r="D54" s="18">
        <v>69</v>
      </c>
      <c r="E54" s="18">
        <v>83</v>
      </c>
      <c r="F54" s="18">
        <f t="shared" si="4"/>
        <v>152</v>
      </c>
      <c r="H54" s="43" t="s">
        <v>30</v>
      </c>
      <c r="I54" s="18" t="s">
        <v>58</v>
      </c>
      <c r="J54" s="42">
        <v>-680.15</v>
      </c>
      <c r="K54" s="18">
        <v>46</v>
      </c>
      <c r="L54" s="18">
        <v>74</v>
      </c>
      <c r="M54" s="18">
        <f t="shared" si="5"/>
        <v>120</v>
      </c>
    </row>
    <row r="55" spans="1:13" ht="15.75" customHeight="1" x14ac:dyDescent="0.3">
      <c r="A55" s="41" t="s">
        <v>32</v>
      </c>
      <c r="B55" s="17" t="s">
        <v>58</v>
      </c>
      <c r="C55" s="44">
        <v>3448.6</v>
      </c>
      <c r="D55" s="17">
        <v>52</v>
      </c>
      <c r="E55" s="17">
        <v>56</v>
      </c>
      <c r="F55" s="17">
        <f t="shared" si="4"/>
        <v>108</v>
      </c>
      <c r="H55" s="41" t="s">
        <v>32</v>
      </c>
      <c r="I55" s="17" t="s">
        <v>58</v>
      </c>
      <c r="J55" s="42">
        <v>-5246.95</v>
      </c>
      <c r="K55" s="17">
        <v>34</v>
      </c>
      <c r="L55" s="17">
        <v>79</v>
      </c>
      <c r="M55" s="17">
        <f t="shared" si="5"/>
        <v>113</v>
      </c>
    </row>
    <row r="56" spans="1:13" ht="15.75" customHeight="1" x14ac:dyDescent="0.3">
      <c r="A56" s="43" t="s">
        <v>34</v>
      </c>
      <c r="B56" s="18" t="s">
        <v>58</v>
      </c>
      <c r="C56" s="44">
        <v>840.73</v>
      </c>
      <c r="D56" s="18">
        <v>50</v>
      </c>
      <c r="E56" s="18">
        <v>71</v>
      </c>
      <c r="F56" s="18">
        <f t="shared" si="4"/>
        <v>121</v>
      </c>
      <c r="H56" s="43" t="s">
        <v>34</v>
      </c>
      <c r="I56" s="18" t="s">
        <v>58</v>
      </c>
      <c r="J56" s="42">
        <v>-1656.53</v>
      </c>
      <c r="K56" s="18">
        <v>44</v>
      </c>
      <c r="L56" s="18">
        <v>60</v>
      </c>
      <c r="M56" s="18">
        <f t="shared" si="5"/>
        <v>104</v>
      </c>
    </row>
    <row r="57" spans="1:13" ht="15.75" customHeight="1" x14ac:dyDescent="0.3">
      <c r="A57" s="41" t="s">
        <v>36</v>
      </c>
      <c r="B57" s="17" t="s">
        <v>58</v>
      </c>
      <c r="C57" s="42">
        <v>-1284.75</v>
      </c>
      <c r="D57" s="17">
        <v>48</v>
      </c>
      <c r="E57" s="17">
        <v>80</v>
      </c>
      <c r="F57" s="17">
        <f t="shared" si="4"/>
        <v>128</v>
      </c>
      <c r="H57" s="41" t="s">
        <v>36</v>
      </c>
      <c r="I57" s="17" t="s">
        <v>58</v>
      </c>
      <c r="J57" s="42">
        <v>-2292.5</v>
      </c>
      <c r="K57" s="17">
        <v>43</v>
      </c>
      <c r="L57" s="17">
        <v>69</v>
      </c>
      <c r="M57" s="17">
        <f t="shared" si="5"/>
        <v>112</v>
      </c>
    </row>
    <row r="58" spans="1:13" ht="15.75" customHeight="1" x14ac:dyDescent="0.3">
      <c r="A58" s="43" t="s">
        <v>38</v>
      </c>
      <c r="B58" s="18" t="s">
        <v>58</v>
      </c>
      <c r="C58" s="44">
        <v>1514.05</v>
      </c>
      <c r="D58" s="18">
        <v>48</v>
      </c>
      <c r="E58" s="18">
        <v>53</v>
      </c>
      <c r="F58" s="18">
        <f t="shared" si="4"/>
        <v>101</v>
      </c>
      <c r="H58" s="43" t="s">
        <v>38</v>
      </c>
      <c r="I58" s="18" t="s">
        <v>58</v>
      </c>
      <c r="J58" s="42">
        <v>-1469.6</v>
      </c>
      <c r="K58" s="18">
        <v>34</v>
      </c>
      <c r="L58" s="18">
        <v>56</v>
      </c>
      <c r="M58" s="18">
        <f t="shared" si="5"/>
        <v>90</v>
      </c>
    </row>
    <row r="59" spans="1:13" ht="15.75" customHeight="1" x14ac:dyDescent="0.3">
      <c r="A59" s="41" t="s">
        <v>40</v>
      </c>
      <c r="B59" s="17" t="s">
        <v>58</v>
      </c>
      <c r="C59" s="44">
        <v>4168.3</v>
      </c>
      <c r="D59" s="17">
        <v>55</v>
      </c>
      <c r="E59" s="17">
        <v>48</v>
      </c>
      <c r="F59" s="17">
        <f t="shared" si="4"/>
        <v>103</v>
      </c>
      <c r="H59" s="41" t="s">
        <v>40</v>
      </c>
      <c r="I59" s="17" t="s">
        <v>58</v>
      </c>
      <c r="J59" s="42">
        <v>-217.9</v>
      </c>
      <c r="K59" s="17">
        <v>41</v>
      </c>
      <c r="L59" s="17">
        <v>56</v>
      </c>
      <c r="M59" s="17">
        <f t="shared" si="5"/>
        <v>97</v>
      </c>
    </row>
    <row r="60" spans="1:13" ht="15.75" customHeight="1" x14ac:dyDescent="0.3">
      <c r="A60" s="43" t="s">
        <v>42</v>
      </c>
      <c r="B60" s="18" t="s">
        <v>58</v>
      </c>
      <c r="C60" s="44">
        <v>4236.3500000000004</v>
      </c>
      <c r="D60" s="18">
        <v>57</v>
      </c>
      <c r="E60" s="18">
        <v>56</v>
      </c>
      <c r="F60" s="18">
        <f t="shared" si="4"/>
        <v>113</v>
      </c>
      <c r="H60" s="43" t="s">
        <v>42</v>
      </c>
      <c r="I60" s="18" t="s">
        <v>58</v>
      </c>
      <c r="J60" s="42">
        <v>-4043.95</v>
      </c>
      <c r="K60" s="18">
        <v>41</v>
      </c>
      <c r="L60" s="18">
        <v>67</v>
      </c>
      <c r="M60" s="18">
        <f t="shared" si="5"/>
        <v>108</v>
      </c>
    </row>
    <row r="61" spans="1:13" ht="15.75" customHeight="1" x14ac:dyDescent="0.3">
      <c r="A61" s="41" t="s">
        <v>44</v>
      </c>
      <c r="B61" s="17" t="s">
        <v>58</v>
      </c>
      <c r="C61" s="44">
        <v>1516.6</v>
      </c>
      <c r="D61" s="17">
        <v>46</v>
      </c>
      <c r="E61" s="17">
        <v>49</v>
      </c>
      <c r="F61" s="17">
        <f t="shared" si="4"/>
        <v>95</v>
      </c>
      <c r="H61" s="41" t="s">
        <v>44</v>
      </c>
      <c r="I61" s="17" t="s">
        <v>58</v>
      </c>
      <c r="J61" s="44">
        <v>1164.7</v>
      </c>
      <c r="K61" s="17">
        <v>42</v>
      </c>
      <c r="L61" s="17">
        <v>44</v>
      </c>
      <c r="M61" s="17">
        <f t="shared" si="5"/>
        <v>86</v>
      </c>
    </row>
    <row r="62" spans="1:13" ht="24" customHeight="1" x14ac:dyDescent="0.3">
      <c r="A62" s="45" t="s">
        <v>59</v>
      </c>
      <c r="B62" s="45"/>
      <c r="C62" s="21">
        <f>SUM(C47:C61)</f>
        <v>25173.879999999997</v>
      </c>
      <c r="D62" s="45">
        <f>SUM(D47:D61)</f>
        <v>773</v>
      </c>
      <c r="E62" s="45">
        <f>SUM(E47:E61)</f>
        <v>992</v>
      </c>
      <c r="F62" s="45">
        <f>SUM(F47:F61)</f>
        <v>1765</v>
      </c>
      <c r="H62" s="45" t="s">
        <v>59</v>
      </c>
      <c r="I62" s="45"/>
      <c r="J62" s="23">
        <f>SUM(J47:J61)</f>
        <v>-7897.829999999999</v>
      </c>
      <c r="K62" s="45">
        <f>SUM(K47:K61)</f>
        <v>690</v>
      </c>
      <c r="L62" s="45">
        <f>SUM(L47:L61)</f>
        <v>952</v>
      </c>
      <c r="M62" s="45">
        <f>SUM(M47:M61)</f>
        <v>1642</v>
      </c>
    </row>
    <row r="64" spans="1:13" ht="21.75" customHeight="1" x14ac:dyDescent="0.3">
      <c r="A64" s="86" t="s">
        <v>62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ht="18" customHeight="1" x14ac:dyDescent="0.3">
      <c r="A65" s="95" t="s">
        <v>51</v>
      </c>
      <c r="B65" s="95"/>
      <c r="C65" s="95"/>
      <c r="D65" s="95"/>
      <c r="E65" s="95"/>
      <c r="F65" s="95"/>
      <c r="H65" s="96" t="s">
        <v>52</v>
      </c>
      <c r="I65" s="96"/>
      <c r="J65" s="96"/>
      <c r="K65" s="96"/>
      <c r="L65" s="96"/>
      <c r="M65" s="96"/>
    </row>
    <row r="66" spans="1:13" ht="19.5" customHeight="1" x14ac:dyDescent="0.3">
      <c r="A66" s="39" t="s">
        <v>12</v>
      </c>
      <c r="B66" s="39" t="s">
        <v>53</v>
      </c>
      <c r="C66" s="39" t="s">
        <v>54</v>
      </c>
      <c r="D66" s="39" t="s">
        <v>55</v>
      </c>
      <c r="E66" s="39" t="s">
        <v>56</v>
      </c>
      <c r="F66" s="39" t="s">
        <v>57</v>
      </c>
      <c r="H66" s="40" t="s">
        <v>12</v>
      </c>
      <c r="I66" s="40" t="s">
        <v>53</v>
      </c>
      <c r="J66" s="40" t="s">
        <v>54</v>
      </c>
      <c r="K66" s="40" t="s">
        <v>55</v>
      </c>
      <c r="L66" s="40" t="s">
        <v>56</v>
      </c>
      <c r="M66" s="40" t="s">
        <v>57</v>
      </c>
    </row>
    <row r="67" spans="1:13" ht="15.75" customHeight="1" x14ac:dyDescent="0.3">
      <c r="A67" s="43" t="s">
        <v>16</v>
      </c>
      <c r="B67" s="18" t="s">
        <v>58</v>
      </c>
      <c r="C67" s="44">
        <v>985.15</v>
      </c>
      <c r="D67" s="18">
        <v>52</v>
      </c>
      <c r="E67" s="18">
        <v>73</v>
      </c>
      <c r="F67" s="18">
        <f t="shared" ref="F67:F81" si="6">SUM(D67,E67)</f>
        <v>125</v>
      </c>
      <c r="H67" s="43" t="s">
        <v>16</v>
      </c>
      <c r="I67" s="18" t="s">
        <v>58</v>
      </c>
      <c r="J67" s="42">
        <v>-2672.8</v>
      </c>
      <c r="K67" s="18">
        <v>49</v>
      </c>
      <c r="L67" s="18">
        <v>79</v>
      </c>
      <c r="M67" s="18">
        <f t="shared" ref="M67:M81" si="7">SUM(K67,L67)</f>
        <v>128</v>
      </c>
    </row>
    <row r="68" spans="1:13" ht="15.75" customHeight="1" x14ac:dyDescent="0.3">
      <c r="A68" s="41" t="s">
        <v>18</v>
      </c>
      <c r="B68" s="17" t="s">
        <v>58</v>
      </c>
      <c r="C68" s="42">
        <v>-1719.5</v>
      </c>
      <c r="D68" s="17">
        <v>51</v>
      </c>
      <c r="E68" s="17">
        <v>91</v>
      </c>
      <c r="F68" s="17">
        <f t="shared" si="6"/>
        <v>142</v>
      </c>
      <c r="H68" s="41" t="s">
        <v>18</v>
      </c>
      <c r="I68" s="17" t="s">
        <v>58</v>
      </c>
      <c r="J68" s="44">
        <v>3161.8</v>
      </c>
      <c r="K68" s="17">
        <v>67</v>
      </c>
      <c r="L68" s="17">
        <v>82</v>
      </c>
      <c r="M68" s="17">
        <f t="shared" si="7"/>
        <v>149</v>
      </c>
    </row>
    <row r="69" spans="1:13" ht="15.75" customHeight="1" x14ac:dyDescent="0.3">
      <c r="A69" s="43" t="s">
        <v>20</v>
      </c>
      <c r="B69" s="18" t="s">
        <v>58</v>
      </c>
      <c r="C69" s="42">
        <v>-1448.65</v>
      </c>
      <c r="D69" s="18">
        <v>51</v>
      </c>
      <c r="E69" s="18">
        <v>96</v>
      </c>
      <c r="F69" s="18">
        <f t="shared" si="6"/>
        <v>147</v>
      </c>
      <c r="H69" s="43" t="s">
        <v>20</v>
      </c>
      <c r="I69" s="18" t="s">
        <v>58</v>
      </c>
      <c r="J69" s="44">
        <v>4357.7</v>
      </c>
      <c r="K69" s="18">
        <v>68</v>
      </c>
      <c r="L69" s="18">
        <v>82</v>
      </c>
      <c r="M69" s="18">
        <f t="shared" si="7"/>
        <v>150</v>
      </c>
    </row>
    <row r="70" spans="1:13" ht="15.75" customHeight="1" x14ac:dyDescent="0.3">
      <c r="A70" s="41" t="s">
        <v>22</v>
      </c>
      <c r="B70" s="17" t="s">
        <v>58</v>
      </c>
      <c r="C70" s="42">
        <v>-607.95000000000005</v>
      </c>
      <c r="D70" s="17">
        <v>69</v>
      </c>
      <c r="E70" s="17">
        <v>109</v>
      </c>
      <c r="F70" s="17">
        <f t="shared" si="6"/>
        <v>178</v>
      </c>
      <c r="H70" s="41" t="s">
        <v>22</v>
      </c>
      <c r="I70" s="17" t="s">
        <v>58</v>
      </c>
      <c r="J70" s="42">
        <v>-1689.45</v>
      </c>
      <c r="K70" s="17">
        <v>70</v>
      </c>
      <c r="L70" s="17">
        <v>116</v>
      </c>
      <c r="M70" s="17">
        <f t="shared" si="7"/>
        <v>186</v>
      </c>
    </row>
    <row r="71" spans="1:13" ht="15.75" customHeight="1" x14ac:dyDescent="0.3">
      <c r="A71" s="43" t="s">
        <v>24</v>
      </c>
      <c r="B71" s="18" t="s">
        <v>58</v>
      </c>
      <c r="C71" s="42">
        <v>-1888.2</v>
      </c>
      <c r="D71" s="18">
        <v>64</v>
      </c>
      <c r="E71" s="18">
        <v>97</v>
      </c>
      <c r="F71" s="18">
        <f t="shared" si="6"/>
        <v>161</v>
      </c>
      <c r="H71" s="43" t="s">
        <v>24</v>
      </c>
      <c r="I71" s="18" t="s">
        <v>58</v>
      </c>
      <c r="J71" s="42">
        <v>-2292.85</v>
      </c>
      <c r="K71" s="18">
        <v>57</v>
      </c>
      <c r="L71" s="18">
        <v>115</v>
      </c>
      <c r="M71" s="18">
        <f t="shared" si="7"/>
        <v>172</v>
      </c>
    </row>
    <row r="72" spans="1:13" ht="15.75" customHeight="1" x14ac:dyDescent="0.3">
      <c r="A72" s="41" t="s">
        <v>26</v>
      </c>
      <c r="B72" s="17" t="s">
        <v>58</v>
      </c>
      <c r="C72" s="42">
        <v>-1866.75</v>
      </c>
      <c r="D72" s="17">
        <v>40</v>
      </c>
      <c r="E72" s="17">
        <v>70</v>
      </c>
      <c r="F72" s="17">
        <f t="shared" si="6"/>
        <v>110</v>
      </c>
      <c r="H72" s="41" t="s">
        <v>26</v>
      </c>
      <c r="I72" s="17" t="s">
        <v>58</v>
      </c>
      <c r="J72" s="44">
        <v>2909.45</v>
      </c>
      <c r="K72" s="17">
        <v>56</v>
      </c>
      <c r="L72" s="17">
        <v>55</v>
      </c>
      <c r="M72" s="17">
        <f t="shared" si="7"/>
        <v>111</v>
      </c>
    </row>
    <row r="73" spans="1:13" ht="15.75" customHeight="1" x14ac:dyDescent="0.3">
      <c r="A73" s="43" t="s">
        <v>28</v>
      </c>
      <c r="B73" s="18" t="s">
        <v>58</v>
      </c>
      <c r="C73" s="42">
        <v>-78.900000000000006</v>
      </c>
      <c r="D73" s="18">
        <v>59</v>
      </c>
      <c r="E73" s="18">
        <v>104</v>
      </c>
      <c r="F73" s="18">
        <f t="shared" si="6"/>
        <v>163</v>
      </c>
      <c r="H73" s="43" t="s">
        <v>28</v>
      </c>
      <c r="I73" s="18" t="s">
        <v>58</v>
      </c>
      <c r="J73" s="44">
        <v>1816.25</v>
      </c>
      <c r="K73" s="18">
        <v>69</v>
      </c>
      <c r="L73" s="18">
        <v>95</v>
      </c>
      <c r="M73" s="18">
        <f t="shared" si="7"/>
        <v>164</v>
      </c>
    </row>
    <row r="74" spans="1:13" ht="15.75" customHeight="1" x14ac:dyDescent="0.3">
      <c r="A74" s="41" t="s">
        <v>30</v>
      </c>
      <c r="B74" s="17" t="s">
        <v>58</v>
      </c>
      <c r="C74" s="42">
        <v>-1354.85</v>
      </c>
      <c r="D74" s="17">
        <v>54</v>
      </c>
      <c r="E74" s="17">
        <v>92</v>
      </c>
      <c r="F74" s="17">
        <f t="shared" si="6"/>
        <v>146</v>
      </c>
      <c r="H74" s="41" t="s">
        <v>30</v>
      </c>
      <c r="I74" s="17" t="s">
        <v>58</v>
      </c>
      <c r="J74" s="44">
        <v>5496.35</v>
      </c>
      <c r="K74" s="17">
        <v>68</v>
      </c>
      <c r="L74" s="17">
        <v>76</v>
      </c>
      <c r="M74" s="17">
        <f t="shared" si="7"/>
        <v>144</v>
      </c>
    </row>
    <row r="75" spans="1:13" ht="15.75" customHeight="1" x14ac:dyDescent="0.3">
      <c r="A75" s="43" t="s">
        <v>32</v>
      </c>
      <c r="B75" s="18" t="s">
        <v>58</v>
      </c>
      <c r="C75" s="44">
        <v>4689.05</v>
      </c>
      <c r="D75" s="18">
        <v>53</v>
      </c>
      <c r="E75" s="18">
        <v>75</v>
      </c>
      <c r="F75" s="18">
        <f t="shared" si="6"/>
        <v>128</v>
      </c>
      <c r="H75" s="43" t="s">
        <v>32</v>
      </c>
      <c r="I75" s="18" t="s">
        <v>58</v>
      </c>
      <c r="J75" s="42">
        <v>-915.6</v>
      </c>
      <c r="K75" s="18">
        <v>55</v>
      </c>
      <c r="L75" s="18">
        <v>87</v>
      </c>
      <c r="M75" s="18">
        <f t="shared" si="7"/>
        <v>142</v>
      </c>
    </row>
    <row r="76" spans="1:13" ht="15.75" customHeight="1" x14ac:dyDescent="0.3">
      <c r="A76" s="41" t="s">
        <v>34</v>
      </c>
      <c r="B76" s="17" t="s">
        <v>58</v>
      </c>
      <c r="C76" s="42">
        <v>-2028.2</v>
      </c>
      <c r="D76" s="17">
        <v>51</v>
      </c>
      <c r="E76" s="17">
        <v>87</v>
      </c>
      <c r="F76" s="17">
        <f t="shared" si="6"/>
        <v>138</v>
      </c>
      <c r="H76" s="41" t="s">
        <v>34</v>
      </c>
      <c r="I76" s="17" t="s">
        <v>58</v>
      </c>
      <c r="J76" s="44">
        <v>1031.8499999999999</v>
      </c>
      <c r="K76" s="17">
        <v>64</v>
      </c>
      <c r="L76" s="17">
        <v>94</v>
      </c>
      <c r="M76" s="17">
        <f t="shared" si="7"/>
        <v>158</v>
      </c>
    </row>
    <row r="77" spans="1:13" ht="15.75" customHeight="1" x14ac:dyDescent="0.3">
      <c r="A77" s="43" t="s">
        <v>36</v>
      </c>
      <c r="B77" s="18" t="s">
        <v>58</v>
      </c>
      <c r="C77" s="42">
        <v>-1963.7</v>
      </c>
      <c r="D77" s="18">
        <v>56</v>
      </c>
      <c r="E77" s="18">
        <v>91</v>
      </c>
      <c r="F77" s="18">
        <f t="shared" si="6"/>
        <v>147</v>
      </c>
      <c r="H77" s="43" t="s">
        <v>36</v>
      </c>
      <c r="I77" s="18" t="s">
        <v>58</v>
      </c>
      <c r="J77" s="42">
        <v>-1150.3499999999999</v>
      </c>
      <c r="K77" s="18">
        <v>57</v>
      </c>
      <c r="L77" s="18">
        <v>104</v>
      </c>
      <c r="M77" s="18">
        <f t="shared" si="7"/>
        <v>161</v>
      </c>
    </row>
    <row r="78" spans="1:13" ht="15.75" customHeight="1" x14ac:dyDescent="0.3">
      <c r="A78" s="41" t="s">
        <v>38</v>
      </c>
      <c r="B78" s="17" t="s">
        <v>58</v>
      </c>
      <c r="C78" s="44">
        <v>3208</v>
      </c>
      <c r="D78" s="17">
        <v>63</v>
      </c>
      <c r="E78" s="17">
        <v>66</v>
      </c>
      <c r="F78" s="17">
        <f t="shared" si="6"/>
        <v>129</v>
      </c>
      <c r="H78" s="41" t="s">
        <v>38</v>
      </c>
      <c r="I78" s="17" t="s">
        <v>58</v>
      </c>
      <c r="J78" s="44">
        <v>328.65</v>
      </c>
      <c r="K78" s="17">
        <v>54</v>
      </c>
      <c r="L78" s="17">
        <v>84</v>
      </c>
      <c r="M78" s="17">
        <f t="shared" si="7"/>
        <v>138</v>
      </c>
    </row>
    <row r="79" spans="1:13" ht="15.75" customHeight="1" x14ac:dyDescent="0.3">
      <c r="A79" s="43" t="s">
        <v>40</v>
      </c>
      <c r="B79" s="18" t="s">
        <v>58</v>
      </c>
      <c r="C79" s="42">
        <v>-3144</v>
      </c>
      <c r="D79" s="18">
        <v>43</v>
      </c>
      <c r="E79" s="18">
        <v>88</v>
      </c>
      <c r="F79" s="18">
        <f t="shared" si="6"/>
        <v>131</v>
      </c>
      <c r="H79" s="43" t="s">
        <v>40</v>
      </c>
      <c r="I79" s="18" t="s">
        <v>58</v>
      </c>
      <c r="J79" s="44">
        <v>1081.0999999999999</v>
      </c>
      <c r="K79" s="18">
        <v>55</v>
      </c>
      <c r="L79" s="18">
        <v>60</v>
      </c>
      <c r="M79" s="18">
        <f t="shared" si="7"/>
        <v>115</v>
      </c>
    </row>
    <row r="80" spans="1:13" ht="15.75" customHeight="1" x14ac:dyDescent="0.3">
      <c r="A80" s="41" t="s">
        <v>42</v>
      </c>
      <c r="B80" s="17" t="s">
        <v>58</v>
      </c>
      <c r="C80" s="44">
        <v>1089.3499999999999</v>
      </c>
      <c r="D80" s="17">
        <v>57</v>
      </c>
      <c r="E80" s="17">
        <v>72</v>
      </c>
      <c r="F80" s="17">
        <f t="shared" si="6"/>
        <v>129</v>
      </c>
      <c r="H80" s="41" t="s">
        <v>42</v>
      </c>
      <c r="I80" s="17" t="s">
        <v>58</v>
      </c>
      <c r="J80" s="44">
        <v>2465.15</v>
      </c>
      <c r="K80" s="17">
        <v>56</v>
      </c>
      <c r="L80" s="17">
        <v>75</v>
      </c>
      <c r="M80" s="17">
        <f t="shared" si="7"/>
        <v>131</v>
      </c>
    </row>
    <row r="81" spans="1:13" ht="15.75" customHeight="1" x14ac:dyDescent="0.3">
      <c r="A81" s="43" t="s">
        <v>44</v>
      </c>
      <c r="B81" s="18" t="s">
        <v>58</v>
      </c>
      <c r="C81" s="44">
        <v>1695.6</v>
      </c>
      <c r="D81" s="18">
        <v>50</v>
      </c>
      <c r="E81" s="18">
        <v>50</v>
      </c>
      <c r="F81" s="18">
        <f t="shared" si="6"/>
        <v>100</v>
      </c>
      <c r="H81" s="43" t="s">
        <v>44</v>
      </c>
      <c r="I81" s="18" t="s">
        <v>58</v>
      </c>
      <c r="J81" s="44">
        <v>2759.4</v>
      </c>
      <c r="K81" s="18">
        <v>50</v>
      </c>
      <c r="L81" s="18">
        <v>63</v>
      </c>
      <c r="M81" s="18">
        <f t="shared" si="7"/>
        <v>113</v>
      </c>
    </row>
    <row r="82" spans="1:13" ht="24" customHeight="1" x14ac:dyDescent="0.3">
      <c r="A82" s="45" t="s">
        <v>59</v>
      </c>
      <c r="B82" s="45"/>
      <c r="C82" s="23">
        <f>SUM(C67:C81)</f>
        <v>-4433.5499999999993</v>
      </c>
      <c r="D82" s="45">
        <f>SUM(D67:D81)</f>
        <v>813</v>
      </c>
      <c r="E82" s="45">
        <f>SUM(E67:E81)</f>
        <v>1261</v>
      </c>
      <c r="F82" s="45">
        <f>SUM(F67:F81)</f>
        <v>2074</v>
      </c>
      <c r="H82" s="45" t="s">
        <v>59</v>
      </c>
      <c r="I82" s="45"/>
      <c r="J82" s="21">
        <f>SUM(J67:J81)</f>
        <v>16686.650000000001</v>
      </c>
      <c r="K82" s="45">
        <f>SUM(K67:K81)</f>
        <v>895</v>
      </c>
      <c r="L82" s="45">
        <f>SUM(L67:L81)</f>
        <v>1267</v>
      </c>
      <c r="M82" s="45">
        <f>SUM(M67:M81)</f>
        <v>2162</v>
      </c>
    </row>
    <row r="84" spans="1:13" ht="24" customHeight="1" x14ac:dyDescent="0.3">
      <c r="A84" s="97" t="s">
        <v>63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x14ac:dyDescent="0.3">
      <c r="A85" s="90"/>
      <c r="B85" s="90"/>
      <c r="C85" s="2" t="s">
        <v>64</v>
      </c>
      <c r="D85" s="2" t="s">
        <v>54</v>
      </c>
      <c r="E85" s="2" t="s">
        <v>55</v>
      </c>
      <c r="F85" s="2" t="s">
        <v>56</v>
      </c>
      <c r="G85" s="2" t="s">
        <v>57</v>
      </c>
      <c r="H85" s="2" t="s">
        <v>65</v>
      </c>
      <c r="I85" s="90"/>
      <c r="J85" s="90"/>
      <c r="K85" s="90"/>
      <c r="L85" s="90"/>
      <c r="M85" s="90"/>
    </row>
    <row r="86" spans="1:13" x14ac:dyDescent="0.3">
      <c r="A86" s="25"/>
      <c r="B86" s="25"/>
      <c r="C86" s="26" t="s">
        <v>66</v>
      </c>
      <c r="D86" s="27">
        <f>SUM(C22,C42,C62,C82)</f>
        <v>57320.319999999992</v>
      </c>
      <c r="E86" s="28">
        <f>SUM(D82,D62,D42,D22)</f>
        <v>3268</v>
      </c>
      <c r="F86" s="28">
        <f>SUM(E82,E62,E42,E22)</f>
        <v>4510</v>
      </c>
      <c r="G86" s="28">
        <f>SUM(E86:F86)</f>
        <v>7778</v>
      </c>
      <c r="H86" s="29">
        <f>E86/G86</f>
        <v>0.42015942401645667</v>
      </c>
      <c r="I86" s="30"/>
      <c r="J86" s="25"/>
      <c r="K86" s="25"/>
      <c r="L86" s="25"/>
      <c r="M86" s="25"/>
    </row>
    <row r="87" spans="1:13" x14ac:dyDescent="0.3">
      <c r="A87" s="31"/>
      <c r="B87" s="31"/>
      <c r="C87" s="32" t="s">
        <v>67</v>
      </c>
      <c r="D87" s="27">
        <f>SUM(J22,J42,J62,J82)</f>
        <v>15499.09</v>
      </c>
      <c r="E87" s="33">
        <f>SUM(K82,K62,K42,K22)</f>
        <v>3146</v>
      </c>
      <c r="F87" s="33">
        <f>SUM(L82,L62,L42,L22)</f>
        <v>4311</v>
      </c>
      <c r="G87" s="33">
        <f>SUM(E87:F87)</f>
        <v>7457</v>
      </c>
      <c r="H87" s="34">
        <f>E87/G87</f>
        <v>0.42188547673327076</v>
      </c>
      <c r="I87" s="35"/>
      <c r="J87" s="31"/>
      <c r="K87" s="31"/>
      <c r="L87" s="31"/>
      <c r="M87" s="31"/>
    </row>
    <row r="88" spans="1:13" x14ac:dyDescent="0.3">
      <c r="A88" s="36"/>
      <c r="B88" s="36"/>
      <c r="C88" s="1" t="s">
        <v>68</v>
      </c>
      <c r="D88" s="21">
        <f>SUM(D86:D87)</f>
        <v>72819.409999999989</v>
      </c>
      <c r="E88" s="6">
        <f>SUM(E86:E87)</f>
        <v>6414</v>
      </c>
      <c r="F88" s="6">
        <f>SUM(F86:F87)</f>
        <v>8821</v>
      </c>
      <c r="G88" s="6">
        <f>SUM(G86:G87)</f>
        <v>15235</v>
      </c>
      <c r="H88" s="37">
        <f>AVERAGE(H86,H87)</f>
        <v>0.42102245037486374</v>
      </c>
      <c r="I88" s="38"/>
      <c r="J88" s="36"/>
      <c r="K88" s="36"/>
      <c r="L88" s="36"/>
      <c r="M88" s="36"/>
    </row>
    <row r="90" spans="1:13" ht="13.5" customHeight="1" x14ac:dyDescent="0.3">
      <c r="A90" s="85" t="s">
        <v>69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</sheetData>
  <mergeCells count="18">
    <mergeCell ref="A1:M1"/>
    <mergeCell ref="A2:M2"/>
    <mergeCell ref="A4:M4"/>
    <mergeCell ref="A5:F5"/>
    <mergeCell ref="H5:M5"/>
    <mergeCell ref="A24:M24"/>
    <mergeCell ref="A25:F25"/>
    <mergeCell ref="H25:M25"/>
    <mergeCell ref="A44:M44"/>
    <mergeCell ref="A45:F45"/>
    <mergeCell ref="H45:M45"/>
    <mergeCell ref="A90:M90"/>
    <mergeCell ref="A64:M64"/>
    <mergeCell ref="A65:F65"/>
    <mergeCell ref="H65:M65"/>
    <mergeCell ref="A84:M84"/>
    <mergeCell ref="A85:B85"/>
    <mergeCell ref="I85:M8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EA900"/>
  </sheetPr>
  <dimension ref="A1:J35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1.6640625" customWidth="1"/>
    <col min="2" max="2" width="9" bestFit="1" customWidth="1"/>
    <col min="3" max="3" width="5" bestFit="1" customWidth="1"/>
    <col min="4" max="4" width="6.109375" bestFit="1" customWidth="1"/>
    <col min="5" max="5" width="10.5546875" bestFit="1" customWidth="1"/>
    <col min="6" max="6" width="10" bestFit="1" customWidth="1"/>
    <col min="7" max="7" width="112.33203125" customWidth="1"/>
    <col min="8" max="8" width="10.33203125" customWidth="1"/>
    <col min="9" max="9" width="5" customWidth="1"/>
  </cols>
  <sheetData>
    <row r="1" spans="1:10" ht="31.5" customHeight="1" x14ac:dyDescent="0.3">
      <c r="A1" s="91" t="s">
        <v>78</v>
      </c>
      <c r="B1" s="91"/>
      <c r="C1" s="91"/>
      <c r="D1" s="91"/>
      <c r="E1" s="91"/>
      <c r="F1" s="91"/>
      <c r="G1" s="91"/>
      <c r="H1" s="3"/>
      <c r="I1" s="3"/>
      <c r="J1" s="3"/>
    </row>
    <row r="2" spans="1:10" ht="19.5" customHeight="1" x14ac:dyDescent="0.3">
      <c r="A2" s="92" t="s">
        <v>79</v>
      </c>
      <c r="B2" s="92"/>
      <c r="C2" s="92"/>
      <c r="D2" s="92"/>
      <c r="E2" s="92"/>
      <c r="F2" s="92"/>
      <c r="G2" s="92"/>
      <c r="H2" s="3"/>
      <c r="I2" s="3"/>
      <c r="J2" s="3"/>
    </row>
    <row r="3" spans="1:10" ht="7.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9.5" customHeight="1" x14ac:dyDescent="0.3">
      <c r="A4" s="6" t="s">
        <v>80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65</v>
      </c>
      <c r="G4" s="6" t="s">
        <v>81</v>
      </c>
      <c r="H4" s="3"/>
      <c r="I4" s="3"/>
      <c r="J4" s="3"/>
    </row>
    <row r="5" spans="1:10" ht="16.5" customHeight="1" x14ac:dyDescent="0.3">
      <c r="A5" s="46" t="s">
        <v>82</v>
      </c>
      <c r="B5" s="47">
        <f>WA!D88</f>
        <v>72819.409999999989</v>
      </c>
      <c r="C5" s="48">
        <f>WA!E88</f>
        <v>6414</v>
      </c>
      <c r="D5" s="48">
        <f>WA!F88</f>
        <v>8821</v>
      </c>
      <c r="E5" s="48">
        <f>WA!G88</f>
        <v>15235</v>
      </c>
      <c r="F5" s="49">
        <f>WA!H88</f>
        <v>0.42102245037486374</v>
      </c>
      <c r="G5" s="50">
        <v>1</v>
      </c>
      <c r="H5" s="3"/>
      <c r="I5" s="3"/>
      <c r="J5" s="3"/>
    </row>
    <row r="6" spans="1:10" ht="16.5" customHeight="1" x14ac:dyDescent="0.3">
      <c r="A6" s="51" t="s">
        <v>83</v>
      </c>
      <c r="B6" s="47">
        <f>BB!D88</f>
        <v>58764.36</v>
      </c>
      <c r="C6" s="52">
        <f>BB!E88</f>
        <v>3630</v>
      </c>
      <c r="D6" s="52">
        <f>BB!F88</f>
        <v>4734</v>
      </c>
      <c r="E6" s="52">
        <f>BB!G88</f>
        <v>8364</v>
      </c>
      <c r="F6" s="53">
        <f>BB!H88</f>
        <v>0.43387529994977936</v>
      </c>
      <c r="G6" s="62">
        <v>2</v>
      </c>
      <c r="H6" s="3"/>
      <c r="I6" s="3"/>
      <c r="J6" s="3"/>
    </row>
    <row r="7" spans="1:10" ht="16.5" customHeight="1" x14ac:dyDescent="0.3">
      <c r="A7" s="46" t="s">
        <v>84</v>
      </c>
      <c r="B7" s="47">
        <f>RSI!D88</f>
        <v>51720.600000000006</v>
      </c>
      <c r="C7" s="48">
        <f>RSI!E88</f>
        <v>4330</v>
      </c>
      <c r="D7" s="48">
        <f>RSI!F88</f>
        <v>5630</v>
      </c>
      <c r="E7" s="48">
        <f>RSI!G88</f>
        <v>9960</v>
      </c>
      <c r="F7" s="49">
        <f>RSI!H88</f>
        <v>0.43480512382292441</v>
      </c>
      <c r="G7" s="54">
        <v>3</v>
      </c>
      <c r="H7" s="3"/>
      <c r="I7" s="3"/>
      <c r="J7" s="3"/>
    </row>
    <row r="8" spans="1:10" ht="16.5" customHeight="1" x14ac:dyDescent="0.3">
      <c r="A8" s="4" t="s">
        <v>85</v>
      </c>
      <c r="B8" s="55">
        <f>Vwap!D88</f>
        <v>42424.93</v>
      </c>
      <c r="C8" s="56">
        <f>Vwap!E88</f>
        <v>4371</v>
      </c>
      <c r="D8" s="56">
        <f>Vwap!F88</f>
        <v>6155</v>
      </c>
      <c r="E8" s="56">
        <f>Vwap!G88</f>
        <v>10526</v>
      </c>
      <c r="F8" s="57">
        <f>Vwap!H88</f>
        <v>0.41529345369200632</v>
      </c>
      <c r="G8" s="56">
        <v>4</v>
      </c>
      <c r="H8" s="3"/>
      <c r="I8" s="3"/>
      <c r="J8" s="3"/>
    </row>
    <row r="9" spans="1:10" ht="16.5" customHeight="1" x14ac:dyDescent="0.3">
      <c r="A9" s="5" t="s">
        <v>86</v>
      </c>
      <c r="B9" s="55">
        <f>AO!D88</f>
        <v>35673.93</v>
      </c>
      <c r="C9" s="58">
        <f>AO!E88</f>
        <v>3525</v>
      </c>
      <c r="D9" s="58">
        <f>AO!F88</f>
        <v>4412</v>
      </c>
      <c r="E9" s="58">
        <f>AO!G88</f>
        <v>7937</v>
      </c>
      <c r="F9" s="59">
        <f>AO!H88</f>
        <v>0.44411775537624165</v>
      </c>
      <c r="G9" s="58">
        <v>5</v>
      </c>
      <c r="H9" s="3"/>
      <c r="I9" s="3"/>
      <c r="J9" s="3"/>
    </row>
    <row r="10" spans="1:10" ht="16.5" customHeight="1" x14ac:dyDescent="0.3">
      <c r="A10" s="4" t="s">
        <v>87</v>
      </c>
      <c r="B10" s="55">
        <f>MA!D88</f>
        <v>19762.09</v>
      </c>
      <c r="C10" s="56">
        <f>MA!E88</f>
        <v>1725</v>
      </c>
      <c r="D10" s="56">
        <f>MA!F88</f>
        <v>2155</v>
      </c>
      <c r="E10" s="56">
        <f>MA!G88</f>
        <v>3880</v>
      </c>
      <c r="F10" s="57">
        <f>MA!H88</f>
        <v>0.4444005549474801</v>
      </c>
      <c r="G10" s="56">
        <v>6</v>
      </c>
      <c r="H10" s="61"/>
      <c r="I10" s="3"/>
      <c r="J10" s="3"/>
    </row>
    <row r="11" spans="1:10" ht="16.5" customHeight="1" x14ac:dyDescent="0.3">
      <c r="A11" s="5" t="s">
        <v>88</v>
      </c>
      <c r="B11" s="55">
        <f>SuperTrend!D88</f>
        <v>18552.270000000004</v>
      </c>
      <c r="C11" s="58">
        <f>SuperTrend!E88</f>
        <v>2610</v>
      </c>
      <c r="D11" s="58">
        <f>SuperTrend!F88</f>
        <v>3484</v>
      </c>
      <c r="E11" s="58">
        <f>SuperTrend!G88</f>
        <v>6094</v>
      </c>
      <c r="F11" s="59">
        <f>SuperTrend!H88</f>
        <v>0.42823424864480586</v>
      </c>
      <c r="G11" s="58">
        <v>7</v>
      </c>
      <c r="H11" s="61"/>
      <c r="I11" s="3"/>
      <c r="J11" s="3"/>
    </row>
    <row r="12" spans="1:10" ht="16.5" customHeight="1" x14ac:dyDescent="0.3">
      <c r="A12" s="4" t="s">
        <v>89</v>
      </c>
      <c r="B12" s="55">
        <f>'Stochastic RSI'!D88</f>
        <v>6952.0999999999876</v>
      </c>
      <c r="C12" s="56">
        <f>'Stochastic RSI'!E88</f>
        <v>6350</v>
      </c>
      <c r="D12" s="56">
        <f>'Stochastic RSI'!F88</f>
        <v>8891</v>
      </c>
      <c r="E12" s="56">
        <f>'Stochastic RSI'!G88</f>
        <v>15241</v>
      </c>
      <c r="F12" s="57">
        <f>'Stochastic RSI'!H88</f>
        <v>0.41729325856361715</v>
      </c>
      <c r="G12" s="56">
        <v>8</v>
      </c>
      <c r="H12" s="61"/>
      <c r="I12" s="3"/>
      <c r="J12" s="3"/>
    </row>
    <row r="13" spans="1:10" ht="16.5" customHeight="1" x14ac:dyDescent="0.3">
      <c r="A13" s="5" t="s">
        <v>90</v>
      </c>
      <c r="B13" s="55">
        <f>PPS!D88</f>
        <v>6030.3500000000022</v>
      </c>
      <c r="C13" s="58">
        <f>PPS!E88</f>
        <v>1418</v>
      </c>
      <c r="D13" s="58">
        <f>PPS!F88</f>
        <v>2044</v>
      </c>
      <c r="E13" s="58">
        <f>PPS!G88</f>
        <v>3462</v>
      </c>
      <c r="F13" s="59">
        <f>PPS!H88</f>
        <v>0.41060462919225316</v>
      </c>
      <c r="G13" s="58">
        <v>9</v>
      </c>
      <c r="H13" s="61"/>
      <c r="I13" s="3"/>
      <c r="J13" s="3"/>
    </row>
    <row r="14" spans="1:10" ht="16.5" customHeight="1" x14ac:dyDescent="0.3">
      <c r="A14" s="4" t="s">
        <v>91</v>
      </c>
      <c r="B14" s="60">
        <f>MACD!D88</f>
        <v>-934.81000000001222</v>
      </c>
      <c r="C14" s="56">
        <f>MACD!E88</f>
        <v>5789</v>
      </c>
      <c r="D14" s="56">
        <f>MACD!F88</f>
        <v>7940</v>
      </c>
      <c r="E14" s="56">
        <f>MACD!G88</f>
        <v>13729</v>
      </c>
      <c r="F14" s="57">
        <f>MACD!H88</f>
        <v>0.42161340555604798</v>
      </c>
      <c r="G14" s="56">
        <v>10</v>
      </c>
      <c r="H14" s="61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61"/>
      <c r="I15" s="3"/>
      <c r="J15" s="3"/>
    </row>
    <row r="16" spans="1:10" ht="25.5" customHeight="1" x14ac:dyDescent="0.3">
      <c r="A16" s="99" t="s">
        <v>92</v>
      </c>
      <c r="B16" s="99"/>
      <c r="C16" s="99"/>
      <c r="D16" s="99"/>
      <c r="E16" s="99"/>
      <c r="F16" s="99"/>
      <c r="G16" s="99"/>
      <c r="H16" s="61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61"/>
      <c r="I17" s="3"/>
      <c r="J17" s="3"/>
    </row>
    <row r="18" spans="1:10" x14ac:dyDescent="0.3">
      <c r="A18" s="98" t="s">
        <v>93</v>
      </c>
      <c r="B18" s="98"/>
      <c r="C18" s="98"/>
      <c r="D18" s="98"/>
      <c r="E18" s="98"/>
      <c r="F18" s="98"/>
      <c r="G18" s="98"/>
      <c r="H18" s="61"/>
      <c r="I18" s="3"/>
      <c r="J18" s="3"/>
    </row>
    <row r="19" spans="1:10" x14ac:dyDescent="0.3">
      <c r="A19" s="100" t="s">
        <v>94</v>
      </c>
      <c r="B19" s="100"/>
      <c r="C19" s="100"/>
      <c r="D19" s="100"/>
      <c r="E19" s="100"/>
      <c r="F19" s="100"/>
      <c r="G19" s="100"/>
      <c r="H19" s="61"/>
      <c r="I19" s="3"/>
      <c r="J19" s="3"/>
    </row>
    <row r="20" spans="1:10" x14ac:dyDescent="0.3">
      <c r="A20" s="98" t="s">
        <v>98</v>
      </c>
      <c r="B20" s="98"/>
      <c r="C20" s="98"/>
      <c r="D20" s="98"/>
      <c r="E20" s="98"/>
      <c r="F20" s="98"/>
      <c r="G20" s="98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8" customHeight="1" x14ac:dyDescent="0.3">
      <c r="A22" s="83" t="s">
        <v>95</v>
      </c>
      <c r="B22" s="83"/>
      <c r="C22" s="83"/>
      <c r="D22" s="83"/>
      <c r="E22" s="83"/>
      <c r="F22" s="83"/>
      <c r="G22" s="8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</sheetData>
  <mergeCells count="7">
    <mergeCell ref="A20:G20"/>
    <mergeCell ref="A22:G22"/>
    <mergeCell ref="A1:G1"/>
    <mergeCell ref="A2:G2"/>
    <mergeCell ref="A16:G16"/>
    <mergeCell ref="A18:G18"/>
    <mergeCell ref="A19:G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Page</vt:lpstr>
      <vt:lpstr>Content</vt:lpstr>
      <vt:lpstr>Vwap</vt:lpstr>
      <vt:lpstr>SuperTrend</vt:lpstr>
      <vt:lpstr>MA</vt:lpstr>
      <vt:lpstr>MACD</vt:lpstr>
      <vt:lpstr>RSI</vt:lpstr>
      <vt:lpstr>Stochastic RSI</vt:lpstr>
      <vt:lpstr>BB</vt:lpstr>
      <vt:lpstr>AO</vt:lpstr>
      <vt:lpstr>PPS</vt:lpstr>
      <vt:lpstr>WA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Vishvjeet Thakur</cp:lastModifiedBy>
  <cp:revision>0</cp:revision>
  <dcterms:created xsi:type="dcterms:W3CDTF">2026-06-26T18:30:46Z</dcterms:created>
  <dcterms:modified xsi:type="dcterms:W3CDTF">2026-06-30T12:33:14Z</dcterms:modified>
  <dc:language>en-US</dc:language>
</cp:coreProperties>
</file>